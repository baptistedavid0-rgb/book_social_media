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baptistedavid/Documents/RECHERCHE TAFF/"/>
    </mc:Choice>
  </mc:AlternateContent>
  <xr:revisionPtr revIDLastSave="0" documentId="13_ncr:1_{A8229CD5-290D-2443-84B7-3425C50D210A}" xr6:coauthVersionLast="47" xr6:coauthVersionMax="47" xr10:uidLastSave="{00000000-0000-0000-0000-000000000000}"/>
  <bookViews>
    <workbookView xWindow="4420" yWindow="660" windowWidth="25820" windowHeight="17180" xr2:uid="{00000000-000D-0000-FFFF-FFFF00000000}"/>
  </bookViews>
  <sheets>
    <sheet name="ALL TEAMS 2026" sheetId="3" r:id="rId1"/>
    <sheet name="ALL TEAMS 2025" sheetId="4" r:id="rId2"/>
  </sheets>
  <definedNames>
    <definedName name="_xlnm._FilterDatabase" localSheetId="1" hidden="1">'ALL TEAMS 2025'!$A$1:$N$30</definedName>
    <definedName name="_xlnm._FilterDatabase" localSheetId="0" hidden="1">'ALL TEAMS 2026'!$A$1:$O$82</definedName>
    <definedName name="Z_26B984F1_F5E8_498D_98EF_4918E7E2C674_.wvu.FilterData" localSheetId="1" hidden="1">'ALL TEAMS 2025'!$A$1:$N$66</definedName>
    <definedName name="Z_6093BE0E_1F80_46F0_B53B_7F4400F2BFE3_.wvu.FilterData" localSheetId="1" hidden="1">'ALL TEAMS 2025'!$A$1:$N$230</definedName>
    <definedName name="Z_8594AFCD_3B41_4B81_B979_5456E2FD0AC3_.wvu.FilterData" localSheetId="1" hidden="1">'ALL TEAMS 2025'!$A$1:$N$66</definedName>
    <definedName name="Z_8A52195C_3642_4F94_BF33_9498E684A452_.wvu.FilterData" localSheetId="1" hidden="1">'ALL TEAMS 2025'!$A$1:$N$66</definedName>
    <definedName name="Z_9AD516A6_74B3_445D_BF65_F0FC0B0DC784_.wvu.FilterData" localSheetId="0" hidden="1">'ALL TEAMS 2026'!$A$1:$N$282</definedName>
    <definedName name="Z_A618CD9D_AFBC_4474_824F_EDA0A02ED83B_.wvu.FilterData" localSheetId="0" hidden="1">'ALL TEAMS 2026'!$A$1:$N$282</definedName>
    <definedName name="Z_DB078DD8_52E8_403B_8664_60CFDBD89685_.wvu.FilterData" localSheetId="1" hidden="1">'ALL TEAMS 2025'!$A$1:$N$66</definedName>
    <definedName name="Z_E88F7FCD_7F08_4E71_B30C_133DC4379821_.wvu.FilterData" localSheetId="0" hidden="1">'ALL TEAMS 2026'!$A$1:$AB$82</definedName>
    <definedName name="Z_F190CBEE_8889_45AD_BB7D_398DE1561607_.wvu.FilterData" localSheetId="0" hidden="1">'ALL TEAMS 2026'!$A$1:$N$282</definedName>
  </definedNames>
  <calcPr calcId="191029"/>
  <customWorkbookViews>
    <customWorkbookView name="Filtre Radio" guid="{8594AFCD-3B41-4B81-B979-5456E2FD0AC3}" maximized="1" windowWidth="0" windowHeight="0" activeSheetId="0"/>
    <customWorkbookView name="Com Sécurité Routière" guid="{26B984F1-F5E8-498D-98EF-4918E7E2C674}" maximized="1" windowWidth="0" windowHeight="0" activeSheetId="0"/>
    <customWorkbookView name="Sanef Solidaire" guid="{E88F7FCD-7F08-4E71-B30C-133DC4379821}" maximized="1" windowWidth="0" windowHeight="0" activeSheetId="0"/>
    <customWorkbookView name="Filtre Team digitale" guid="{6093BE0E-1F80-46F0-B53B-7F4400F2BFE3}" maximized="1" windowWidth="0" windowHeight="0" activeSheetId="0"/>
    <customWorkbookView name="Filtre Com Infra" guid="{DB078DD8-52E8-403B-8664-60CFDBD89685}" maximized="1" windowWidth="0" windowHeight="0" activeSheetId="0"/>
    <customWorkbookView name="Filtre Com Corpo" guid="{8A52195C-3642-4F94-BF33-9498E684A452}" maximized="1" windowWidth="0" windowHeight="0" activeSheetId="0"/>
    <customWorkbookView name="Com corpo" guid="{F190CBEE-8889-45AD-BB7D-398DE1561607}" maximized="1" windowWidth="0" windowHeight="0" activeSheetId="0"/>
    <customWorkbookView name="Com digitale" guid="{9AD516A6-74B3-445D-BF65-F0FC0B0DC784}" maximized="1" windowWidth="0" windowHeight="0" activeSheetId="0"/>
    <customWorkbookView name="Com Radio" guid="{A618CD9D-AFBC-4474-824F-EDA0A02ED83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QAS8vYXotkmcasIMxMJmp0oztwl01SdRkSQRVlwITw="/>
    </ext>
  </extLst>
</workbook>
</file>

<file path=xl/calcChain.xml><?xml version="1.0" encoding="utf-8"?>
<calcChain xmlns="http://schemas.openxmlformats.org/spreadsheetml/2006/main">
  <c r="M30" i="4" l="1"/>
  <c r="M29" i="4"/>
  <c r="M28" i="4"/>
  <c r="M27" i="4"/>
  <c r="M26" i="4"/>
  <c r="M25" i="4"/>
  <c r="M24" i="4"/>
  <c r="M23" i="4"/>
  <c r="M22" i="4"/>
  <c r="M21" i="4"/>
  <c r="M20" i="4"/>
  <c r="M19" i="4"/>
  <c r="M18" i="4"/>
  <c r="M17" i="4"/>
  <c r="M16" i="4"/>
  <c r="M15" i="4"/>
  <c r="M14" i="4"/>
  <c r="M13" i="4"/>
  <c r="M12" i="4"/>
  <c r="M11" i="4"/>
  <c r="M10" i="4"/>
  <c r="M9" i="4"/>
  <c r="M8" i="4"/>
  <c r="M7" i="4"/>
  <c r="M6" i="4"/>
  <c r="M5" i="4"/>
  <c r="M4" i="4"/>
  <c r="M3" i="4"/>
  <c r="M2" i="4"/>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alcChain>
</file>

<file path=xl/sharedStrings.xml><?xml version="1.0" encoding="utf-8"?>
<sst xmlns="http://schemas.openxmlformats.org/spreadsheetml/2006/main" count="799" uniqueCount="286">
  <si>
    <t>FORMAT</t>
  </si>
  <si>
    <t>Facebook</t>
  </si>
  <si>
    <t>Patchwork / Carrousel</t>
  </si>
  <si>
    <t>Instagram</t>
  </si>
  <si>
    <t>Post</t>
  </si>
  <si>
    <t>LinkedIn</t>
  </si>
  <si>
    <t>Quiz</t>
  </si>
  <si>
    <t>Tiktok</t>
  </si>
  <si>
    <t>Reel</t>
  </si>
  <si>
    <t>Youtube</t>
  </si>
  <si>
    <t>Story</t>
  </si>
  <si>
    <t>MOIS</t>
  </si>
  <si>
    <t>DATE</t>
  </si>
  <si>
    <t xml:space="preserve">EQUIPE </t>
  </si>
  <si>
    <t>RS</t>
  </si>
  <si>
    <t>THÈME</t>
  </si>
  <si>
    <t>SUJET</t>
  </si>
  <si>
    <t>TEXTE</t>
  </si>
  <si>
    <t>LIEN</t>
  </si>
  <si>
    <t>VUES</t>
  </si>
  <si>
    <t>AUDIENCE</t>
  </si>
  <si>
    <t>INTERACTIONS</t>
  </si>
  <si>
    <t>TX D'ENGAG.</t>
  </si>
  <si>
    <t>AMBASSADEUR</t>
  </si>
  <si>
    <t>Com digitale</t>
  </si>
  <si>
    <t>VH</t>
  </si>
  <si>
    <t>Neige début Janvier</t>
  </si>
  <si>
    <t>Il neige un peu partout dans l’ouest et le nord de à france 🛣️❄️ faites attention sur la route !
#neige #autoroute #sécuritéroutière #sanef</t>
  </si>
  <si>
    <t>https://www.instagram.com/reel/DTInHvLiKui/</t>
  </si>
  <si>
    <t>facebook.com/reel/3840257266267650/</t>
  </si>
  <si>
    <t>Les saleuses sont en action sur l’autoroute 🛣️❄️ ! Faites attention à eux et à vous 🙏 #neige #autoroute #sanef #sécuritéroutière</t>
  </si>
  <si>
    <t>https://www.instagram.com/reel/DTN3DQLiD8K/</t>
  </si>
  <si>
    <t>Les saleuses sont en action sur l’autoroute 🛣️❄️ ! #Autoroute #Sanef #neige</t>
  </si>
  <si>
    <t>https://www.tiktok.com/@autoroutes.sanef/video/7592660456666336534</t>
  </si>
  <si>
    <t>facebook.com/reel/2019441936119526/</t>
  </si>
  <si>
    <t>Insolite</t>
  </si>
  <si>
    <t xml:space="preserve">Question : Ce moulin a donné son nom à une aire d’autoroute !
</t>
  </si>
  <si>
    <t>https://www.instagram.com/stories/autoroutes.sanef/3814355599052295972/</t>
  </si>
  <si>
    <t xml:space="preserve">Réponse : BINGO ! La réponse est juste là ! </t>
  </si>
  <si>
    <t>https://www.instagram.com/stories/autoroutes.sanef/3814355674809792881/</t>
  </si>
  <si>
    <t>Aire de Rosny Sud</t>
  </si>
  <si>
    <t xml:space="preserve">À quel jeu vidéo vous fait penser la nouvelle architecture de l'aire de Rosny Sud ? </t>
  </si>
  <si>
    <t>https://www.facebook.com/sanef1077/posts/pfbid02rSugDS13N3i5SRWLegNPsQFZAqfG2EaMeMKMD9MZhWYKwnaZjSLaexA9HwV6pj9hl</t>
  </si>
  <si>
    <t>Insight</t>
  </si>
  <si>
    <t>Rater sa sortie</t>
  </si>
  <si>
    <t>T’inquiète pas ça nous arrive tous 😅 #autoroute #sanef #surlaroute</t>
  </si>
  <si>
    <t>https://www.tiktok.com/@autoroutes.sanef/video/7602582139355401494</t>
  </si>
  <si>
    <t>Ça arrive à tout le monde, rassurez-vous ! 😅
#autoroute #surlaroute #sanef</t>
  </si>
  <si>
    <t>facebook.com/reel/1526468625081563/</t>
  </si>
  <si>
    <t>Ça nous arrive à tous, rassure-toi ! 😅
#autoroute #surlaroute #sanef</t>
  </si>
  <si>
    <t>https://www.instagram.com/reel/DUSsExsiOZC/</t>
  </si>
  <si>
    <t>Vie du réseau</t>
  </si>
  <si>
    <t xml:space="preserve">Question : Quel est le second produit utilisé pour déneiger l'autoroute ? </t>
  </si>
  <si>
    <t>https://www.instagram.com/stories/archive/18150519841448779/</t>
  </si>
  <si>
    <t xml:space="preserve">Réponse : C'est la Saumure ! </t>
  </si>
  <si>
    <t>PCE</t>
  </si>
  <si>
    <t>La semaine dernière, on vous a présenté le PCE (Poste Central d'Exploitation) 📹🛣️
Aujourd'hui, @Ludovic b vous montre le quotidien des opérateurs de cette tour de contrôle de l'autoroute ! 🚨</t>
  </si>
  <si>
    <t>https://www.linkedin.com/posts/sanef_la-semaine-derni%C3%A8re-on-vous-a-pr%C3%A9sent%C3%A9-le-activity-7426883885877088257-6Vbh/?utm_source=share&amp;utm_medium=member_desktop&amp;rcm=ACoAACMODa0BdtYsK7nwpba2LogRKeo-_dfP5bQ</t>
  </si>
  <si>
    <t>Saleuse</t>
  </si>
  <si>
    <t xml:space="preserve">Jusqu'à combien de tonnes peut contenir une saleuse ? </t>
  </si>
  <si>
    <t>https://www.instagram.com/stories/autoroutes.sanef/</t>
  </si>
  <si>
    <t>C'était 9 tonnes ! Tu l'avais ? 🤔</t>
  </si>
  <si>
    <t>https://www.instagram.com/stories/autoroutes.sanef/3833034548389085794/</t>
  </si>
  <si>
    <t>Nid de poule chaussée</t>
  </si>
  <si>
    <t>Mission rebouchage de nid de poule en Alsace après la neige et le gel 
❄️🛣️
#autoroute #sanef #entretien #sécurité</t>
  </si>
  <si>
    <t>https://www.instagram.com/p/DU0yR9_GpAd/?utm_source=ig_web_copy_link&amp;igsh=MzRlODBiNWFlZA==</t>
  </si>
  <si>
    <t>Mission rebouchage de nid de poule en Alsace après la neige et le gel 
❄️🛣️</t>
  </si>
  <si>
    <t>https://www.facebook.com/sanef1077/posts/pfbid02r9mrRj93SQhExamaTbf8PgydwXGYjUVePCUwEYfDsbMW1dXnbWBganP8nx4gFM2xl</t>
  </si>
  <si>
    <t>Peintures aires les Genièvres A4</t>
  </si>
  <si>
    <t>Découverte étrange sur l’aire de repos des Genièvres sur l’A4 ! Vous en pensez quoi ? 🤔🛣️ #autoroute #insolite #art #sanef</t>
  </si>
  <si>
    <t>https://www.facebook.com/sanef1077/posts/pfbid0JkG6QMjW7VGiupAcUUfXMSwymBWh2CeafhmAE8iHDPnDBUEuyFCyNWaXM13e4BDvl</t>
  </si>
  <si>
    <t>https://www.instagram.com/p/DU8gdsqiKAm/?utm_source=ig_web_copy_link&amp;igsh=MzRlODBiNWFlZA==</t>
  </si>
  <si>
    <t>Archives</t>
  </si>
  <si>
    <t>Quand naissaient les autoroutes 🚧
#Sanef #Autoroutes #retrophoto #Vintage #construction</t>
  </si>
  <si>
    <t>https://www.instagram.com/reel/DVJcXY9iCUZ/?utm_source=ig_web_copy_link&amp;igsh=MzRlODBiNWFlZA==</t>
  </si>
  <si>
    <t>https://www.tiktok.com/@autoroutes.sanef/video/7610471534771178754</t>
  </si>
  <si>
    <t>Quand naissaient les autoroutes 🚧
#Sanef #Autoroutes #retrophoto #Vintage #construction</t>
  </si>
  <si>
    <t>https://www.facebook.com/reel/947950194584636</t>
  </si>
  <si>
    <t>https://www.youtube.com/shorts/DYsyWM2TexQ</t>
  </si>
  <si>
    <t>Face cachée</t>
  </si>
  <si>
    <t>Bassins</t>
  </si>
  <si>
    <t xml:space="preserve">Ces aménagements au bord de l’autoroute passent
souvent inaperçus… pourtant, ils protègent 
directement l’environnement.
À quoi servent réellement les bassins de décantation ? 🤔
On vous montre 👇
#Environnement #Infrastructure #Autoroute </t>
  </si>
  <si>
    <t>https://www.linkedin.com/posts/sanef_environnement-infrastructure-autoroute-activity-7431963615525572608--tNG?utm_source=share&amp;utm_medium=member_desktop&amp;rcm=ACoAACMODa0BdtYsK7nwpba2LogRKeo-_dfP5bQ</t>
  </si>
  <si>
    <t>PMV</t>
  </si>
  <si>
    <t>On dirait une grosse télé… mais c’est en réalité un panneau à message variable ! 📺🛣️</t>
  </si>
  <si>
    <t>https://www.facebook.com/sanef1077/posts/pfbid02PAbTX9LpWGXyNrCL8VDwDe93VknzeinSVvdQq3pm6su2NSGkMWSMJF2obDf7tdWql</t>
  </si>
  <si>
    <t>IA Fourgon</t>
  </si>
  <si>
    <t>Vous validez le nouveau fourgon ? Sanefus Prime pour vous servir sur l’autoroute ! 🛣️
#autoroute #sanef #transformers #optimusprime Voir moins</t>
  </si>
  <si>
    <t>https://www.facebook.com/reel/788912323876142</t>
  </si>
  <si>
    <t>Sécurité routière</t>
  </si>
  <si>
    <t>Les distracteurs</t>
  </si>
  <si>
    <t>🚗 Quelques secondes d’inattention peuvent suffire.
Sur l’autoroute, la vitesse amplifie tout. 
Et pourtant, certains gestes du quotidien peuvent détourner notre attention sans qu’on s’en rende compte.
On les appelle les distracteurs au volant.
On les identifie ensemble 👇🏻</t>
  </si>
  <si>
    <t>https://www.linkedin.com/feed/update/urn:li:activity:7442110463716450304</t>
  </si>
  <si>
    <t>OTH</t>
  </si>
  <si>
    <t>Curage, pompage et terrassement d’un ouvrage hydraulique 🤿 Sacré bouchon, non ?</t>
  </si>
  <si>
    <t>https://www.facebook.com/reel/26080001731651187</t>
  </si>
  <si>
    <t>Taille bord d'autoroute</t>
  </si>
  <si>
    <t>Taille en cours sur l'autoroute pour garder une bonne visibilité sur les panneaux ! 🪚🌳🛣️</t>
  </si>
  <si>
    <t>https://www.facebook.com/sanef1077/posts/pfbid0E8NoegXFmnbM4wooDVfvuZ3yMSZhYDiY3VzuaCWNEsFvn9eQdxm32AP2pKtbAvCPl</t>
  </si>
  <si>
    <t>Joints de chaussée</t>
  </si>
  <si>
    <t>🔊 Clac clac
Ce bruit sur l’autoroute vous l’avez sûrement déjà entendu.
Et parfois… il peut surprendre.
Mais derrière ce son se cache un élément essentiel pour la sécurité et la durabilité de l’infrastructure : Les joints de chaussée. 
On vous explique tout juste ici 👇🏻</t>
  </si>
  <si>
    <t>https://www.linkedin.com/posts/clac-clac-ce-bruit-sur-lautoroute-vous-ugcPost-7444632105009053696-Co19?utm_source=share&amp;utm_medium=member_desktop&amp;rcm=ACoAACMODa0BdtYsK7nwpba2LogRKeo-_dfP5bQ</t>
  </si>
  <si>
    <t>Vie de la Radio</t>
  </si>
  <si>
    <t>Immersion radio</t>
  </si>
  <si>
    <t>Une après-midi dans les studios de la radio Sanef 107.7 ça ressemble à ça ! #radio #autoroute #sanef</t>
  </si>
  <si>
    <t>https://fb.watch/FYIgukr-2v/</t>
  </si>
  <si>
    <t>Corridor
de sécurité</t>
  </si>
  <si>
    <t>Sur autoroute, un petit espace peut faire toute la 
différence ⚠️🛣️
À quoi sert le corridor de sécurité et pourquoi est-il crucial ? 🦺
Explication dans la vidéo 👇
#Sécurité #Autoroute #sécuritéroutière #Sanef</t>
  </si>
  <si>
    <t>https://www.linkedin.com/feed/update/urn:li:activity:7434500341997477889</t>
  </si>
  <si>
    <t>Panne sur l'autoroute</t>
  </si>
  <si>
    <t>En panne sur l’autoroute, en premier je… 
A : m’arrête sur la BAU
B : mets mon gilet jaune 
C : allume mes feux de détresse</t>
  </si>
  <si>
    <t>https://www.instagram.com/p/DVgrX7TCIrG/</t>
  </si>
  <si>
    <t>Vous validez notre nouveau fourgon ? Sanefus Prime pour vous servir sur l’autoroute ! 🛣️
#autoroute #sanef #transformers #optimusprime</t>
  </si>
  <si>
    <t>https://www.instagram.com/p/DWRg-MEiAQY/</t>
  </si>
  <si>
    <t>Couches de
la chaussée</t>
  </si>
  <si>
    <t>Une autoroute, ce n’est pas “juste” du bitume. 🛣️
Sous la surface, plusieurs couches techniques 
travaillent ensemble pour supporter le trafic et le temps. 👷🏻
Découverte en vidéo 👇
#autoroutes #entretien #sécurité #mobilité</t>
  </si>
  <si>
    <t>https://www.linkedin.com/posts/sanef_autoroutes-entretien-saezcuritaez-activity-7437037047611174912-9mk3?utm_source=share&amp;utm_medium=member_desktop&amp;rcm=ACoAACMODa0BdtYsK7nwpba2LogRKeo-_dfP5bQ</t>
  </si>
  <si>
    <t>On dirait une grosse télé… mais c’est en réalité un panneau à message variable ! 📺🛣️
#autoroute #sanef #insolite #sécuritéroutière</t>
  </si>
  <si>
    <t>https://www.instagram.com/p/DWO8J_fEmGJ/?img_index=1</t>
  </si>
  <si>
    <t>Recyclage de la chaussée</t>
  </si>
  <si>
    <t>♻️ Et si une route pouvait avoir plusieurs vies ?
Lors des travaux sur les infrastructures, les anciennes couches de chaussée ne sont pas simplement retirées et remplacées. Elles sont réutilisées et mélangées à de nouveaux matériaux pour créer une nouvelle chaussée.
🎥 Dans cette vidéo, découvrez comment le recyclage de la chaussée contribue à construire une autoroute plus durable.</t>
  </si>
  <si>
    <t>https://www.linkedin.com/posts/sanef_et-si-une-route-pouvait-avoir-plusieurs-vies-activity-7439573772304715776-ipob?utm_source=share&amp;utm_medium=member_desktop&amp;rcm=ACoAACMODa0BdtYsK7nwpba2LogRKeo-_dfP5bQ</t>
  </si>
  <si>
    <t>https://www.instagram.com/reel/DV_eecZiMTG/?utm_source=ig_web_copy_link&amp;igsh=MzRlODBiNWFlZA==</t>
  </si>
  <si>
    <t>Vous validez notre nouveau fourgon ?</t>
  </si>
  <si>
    <t>https://www.youtube.com/shorts/K3MrxgiIQQU</t>
  </si>
  <si>
    <t xml:space="preserve">Le tigre </t>
  </si>
  <si>
    <t>Comment s’appelle cette appareil ?
LION
JAGUAR
TIGRE</t>
  </si>
  <si>
    <t>https://www.instagram.com/reel/DWO-5pWCN1E/</t>
  </si>
  <si>
    <t>Taille en cours sur l'autoroute pour garder une bonne visibilité sur les panneaux ! 🪚🌳🛣️
#entretien #autoroute #sanef #sécuritéroutière #environnement</t>
  </si>
  <si>
    <t>https://www.instagram.com/p/DVbcQxRCrVO/?img_index=1</t>
  </si>
  <si>
    <t xml:space="preserve">Une après-midi dans les studios de la radio Sanef 107.7 🎙️
</t>
  </si>
  <si>
    <t>https://www.youtube.com/shorts/aXcpwObm-Wk</t>
  </si>
  <si>
    <t>https://www.instagram.com/reel/DWEtGwCiBl8/?utm_source=ig_web_copy_link&amp;igsh=MzRlODBiNWFlZA==</t>
  </si>
  <si>
    <t>Vous validez notre nouveau fourgon ? Sanefus Prime pour vous servir sur l’autoroute ! 🛣️ #autoroute #sanef #transformers #optimusprime</t>
  </si>
  <si>
    <t>https://www.tiktok.com/@autoroutes.sanef/video/7620857414270733590</t>
  </si>
  <si>
    <t>QUIZ Bassins</t>
  </si>
  <si>
    <t>A quoi servent les bassins sur le bord de l'autoroute ? 
Se baigner
Faire des réserves d'eau
Filtrer la pollution</t>
  </si>
  <si>
    <t>https://www.instagram.com/stories/archive/17939853348155142/</t>
  </si>
  <si>
    <t>QUIZ bassins</t>
  </si>
  <si>
    <t>A quoi sert ce grillage ? C'est...
A Un anti-glissade pour les humains 🛝
B Une rampe de sortie pour les animaux 🦎
C Un piège à feuilles et saletés 🍂</t>
  </si>
  <si>
    <t>https://www.instagram.com/stories/archive/18078619121083770/</t>
  </si>
  <si>
    <t>QUIZ SR</t>
  </si>
  <si>
    <t xml:space="preserve">En panne sur l'autoroute, en premier je ...
m'arrête sur la BAU
mets mon gilet jaune
allume mes feux de détresse </t>
  </si>
  <si>
    <t>https://www.instagram.com/stories/archive/18093074768007789/</t>
  </si>
  <si>
    <t>https://www.tiktok.com/@autoroutes.sanef/video/7619012566630550806</t>
  </si>
  <si>
    <t>Post-accident hydrocarbures</t>
  </si>
  <si>
    <t>À votre avis, que sont en train de faire les deux patrouilleurs ? 🤔🦺</t>
  </si>
  <si>
    <t>https://www.facebook.com/sanef1077/posts/pfbid02VXjJcz2GUJ85RHwnFzZ6FCj8pmLbmzg83oPXWgHh3Mx4oR8P8wYjvvx9RtDG7syLl</t>
  </si>
  <si>
    <t>SCRIM</t>
  </si>
  <si>
    <t>🚛 Comment savoir si la chaussée offre encore une bonne adhérence ?
À l’œil nu, c’est presque impossible à détecter.
Mais pour garantir la sécurité sur l’autoroute, chaque détail compte.
C’est là qu’intervient un véhicule un peu particulier : le SCRIM.
Mais comment ça fonctionne ? On vous en dit plus juste ici 👇🏻</t>
  </si>
  <si>
    <t>https://www.linkedin.com/posts/sanef_comment-savoir-si-la-chauss%C3%A9e-offre-encore-activity-7447168794575134722-Rrmc?utm_source=share&amp;utm_medium=member_desktop&amp;rcm=ACoAACMODa0BdtYsK7nwpba2LogRKeo-_dfP5bQ</t>
  </si>
  <si>
    <t>éco-paturage</t>
  </si>
  <si>
    <t>BEEEEEEEnne route ! 🐑🛣️</t>
  </si>
  <si>
    <t>https://www.facebook.com/sanef1077/posts/pfbid0C8kBtHXAHhK6tY1oWsD8hEfHGiyESshcoKU8EBa534P8QvMUoRRTfABXkME3M1aal</t>
  </si>
  <si>
    <t>Quiz Pont</t>
  </si>
  <si>
    <t>Comment on appelle ces grandes colonnes en béton ? Piles, Pylones, piliers ?
Alors ? Quelle est votre réponse ? 🤔🛣️
#sanef #autoroute #pont #surlaroute</t>
  </si>
  <si>
    <t>https://www.instagram.com/reel/DWoohk-iIcx/?utm_source=ig_web_copy_link&amp;igsh=MzRlODBiNWFlZA==</t>
  </si>
  <si>
    <t>https://www.facebook.com/Gendarmerie70/posts/pfbid0327QoKH2tHGW1n5VwbKuSp27wWz6zHsb7uDAhAGKvS1rzHwWUjtPKC56P9b5vy5mol</t>
  </si>
  <si>
    <t>Glissières de sécurité</t>
  </si>
  <si>
    <t>🛣️ Toutes les glissières de sécurité ne se ressemblent pas.
Sur l’autoroute, elles sont partout… mais on y prête rarement attention.
Et pourtant, leur implantation n’est jamais laissée au hasard.
Pourquoi ? C'est ce que l'on vous explique juste ici 👇🏻</t>
  </si>
  <si>
    <t>https://www.linkedin.com/feed/update/urn:li:activity:7449705523576270848</t>
  </si>
  <si>
    <t>Le téléphone - distracteur</t>
  </si>
  <si>
    <t>Saviez-vous que lire un message en conduisant multiplie par 23 le risque d'accident ? 😱
Et pourtant, ce geste reste fréquent sur les routes...📴
Les conséquences sont réelles. On vous les explique juste ici 👇🏻</t>
  </si>
  <si>
    <t>https://www.linkedin.com/posts/sanef_saviez-vous-que-lire-un-message-en-conduisant-activity-7454778935189401601-1hL3?utm_source=share&amp;utm_medium=member_desktop&amp;rcm=ACoAACMODa0BdtYsK7nwpba2LogRKeo-_dfP5bQ</t>
  </si>
  <si>
    <t>Jeu</t>
  </si>
  <si>
    <t xml:space="preserve">Que risques-tu en cas de non-port de la ceinture ? 
6 points + 375 euros
3 points + 135 euros
4 points + 90 euros </t>
  </si>
  <si>
    <t>https://www.instagram.com/stories/autoroutes.sanef/3884618865955073752/</t>
  </si>
  <si>
    <t>Si tu marches sur le bord de l'autoroute, tu risques : 
375 euros d'amende
Rien, c'est autorisé
11 euros d'amende</t>
  </si>
  <si>
    <t>Couche chaussée autoroute</t>
  </si>
  <si>
    <t>À votre avis, combien faut-il de couches pour faire une autoroute ? 🤔🛣️</t>
  </si>
  <si>
    <t>https://www.facebook.com/sanef1077/posts/pfbid0mznWu7zN11Skgh69UM41EemRKGQ8x7za2GqHPeFMNQ485qo4WGrJN4Sonqwncsapl</t>
  </si>
  <si>
    <t>BAU</t>
  </si>
  <si>
    <t>La B.A.U, ça vous parle ?
Le jargon autoroutier est rempli d'acronymes pour décrire des zones, objets ou matériels très précis sur la route 🛣️
La B.A.U. est le plus connue : la Bande d'Arrêt d'Urgence
On vous explique tout dans cette courte vidéo 👇🏻</t>
  </si>
  <si>
    <t>https://www.linkedin.com/posts/sanef_la-bau-%C3%A7a-vous-parle-le-jargon-autoroutier-activity-7462389079456804864-2Yl6?utm_source=share&amp;utm_medium=member_desktop&amp;rcm=ACoAACMODa0BdtYsK7nwpba2LogRKeo-_dfP5bQ</t>
  </si>
  <si>
    <t>Aire de Beauchêne Sud</t>
  </si>
  <si>
    <t>Les vikings prennent l'autoroute ? 🛣️⚔️
Direction l'aire de Beauchêne Sud, une aire pas comme les autres : elle rend hommage au peuple viking venu jusqu'en Normandie pour s'y installer ! Les clients peuvent s'immerger dans le Folklore nordique le temps d'une pause et même découvrir leurs mythes 🧌 !</t>
  </si>
  <si>
    <t>https://www.linkedin.com/posts/sanef_les-vikings-prennent-lautoroute-activity-7464925800643948544-XQ2K?utm_source=share&amp;utm_medium=member_desktop&amp;rcm=ACoAACMODa0BdtYsK7nwpba2LogRKeo-_dfP5bQ</t>
  </si>
  <si>
    <t>Corridor de sécurité</t>
  </si>
  <si>
    <t xml:space="preserve"> Le corridor de sécurité : je ralentis, je
me décale, j’évite le pire. Un geste simple qui protège
votre vie et celle des agents sur le terrain ! 👷🏻‍♂️👷🏻‍♀️</t>
  </si>
  <si>
    <t>https://www.facebook.com/sanef1077/posts/pfbid0vYVqHGFCytiXZ6t55hs9oazEeti9rq8w2a596mV68txEfZMBeL85Tw9UekJNUNeUl</t>
  </si>
  <si>
    <t>https://www.instagram.com/p/DYCmeUYDW9n/?utm_source=ig_web_copy_link&amp;igsh=NTc4MTIwNjQ2YQ==</t>
  </si>
  <si>
    <t>travaux bretelle A1</t>
  </si>
  <si>
    <t xml:space="preserve"> Remplacement des panneaux sur l’A1
en pleine nuit ! 🛣️
C’est le début du chantier de la nouvelle bretelle du
contournement Est de Roissy 🏗️
Impressionnant, non ? 😲</t>
  </si>
  <si>
    <t>https://www.facebook.com/sanef1077/posts/pfbid023tk4dLRB3qeXRmxtkouBh4J7VWQdXkYtFD2DRU7wTdedwjgriTGiA6VmPiqTC7qDl</t>
  </si>
  <si>
    <t>Remplacement des panneaux sur l’A1
en pleine nuit ! 🛣️
C’est le début du chantier de la nouvelle bretelle du
contournement Est de Roissy 🏗️
Impressionnant, non ? 😲
#autoroute #sanef #chantier #travaux</t>
  </si>
  <si>
    <t>https://www.instagram.com/p/DX8lRntCHaC/?utm_source=ig_web_copy_link&amp;igsh=NTc4MTIwNjQ2YQ==</t>
  </si>
  <si>
    <t>Accidents sur l'autoroute</t>
  </si>
  <si>
    <t>Être agent autoroutier, c'est aussi rencontrer des situations... déroutantes ! 👷🏻‍♀️👷🏻‍♂️</t>
  </si>
  <si>
    <t>https://www.facebook.com/sanef1077/posts/pfbid0gp8tzwSRdgAUmgKNqTUuu1AQcBgQj7CTkYnQrpvsj2q39ouVh4G23JP3oFmdeeEtl</t>
  </si>
  <si>
    <t>Être agent autoroutier, c'est aussi rencontrer des situations... déroutantes ! 👷🏻‍♀️👷🏻‍♂️
#autoroute #sanef #sécuritéroutière #insolite</t>
  </si>
  <si>
    <t>https://www.instagram.com/p/DX_IOnDmiBT/?utm_source=ig_web_copy_link&amp;igsh=MzRlODBiNWFlZA==</t>
  </si>
  <si>
    <t>Sauvetage spitz</t>
  </si>
  <si>
    <t>Sauvetage d'un spritz sur l'autoroute A2 ! 🍹Oups, un spitz plutôt ! 🦮
#autoroute #sanef #puppy #spitz #doglover #chien</t>
  </si>
  <si>
    <t>https://www.instagram.com/p/DY60CNqCJgk/?utm_source=ig_web_copy_link&amp;igsh=MzRlODBiNWFlZA==</t>
  </si>
  <si>
    <t>Sauvetage d'un spritz sur l'autoroute A2 ! 🍹Oups, un spitz plutôt ! 🦮</t>
  </si>
  <si>
    <t>https://www.facebook.com/sanef1077/posts/pfbid06aboHceiLP8x1hmHpfufRGia8wwXt7erKfEyEYufzM3yReXMizdQHu2nLS9btoYtl</t>
  </si>
  <si>
    <t>Travaux</t>
  </si>
  <si>
    <t>Chantier de nuit du l'A1 : Construction du réseau d’assainissement sur la bretelle de la sortie n°8 "Senlis-Bonsecours"💧🌱🚧#autoroute #sanef #travaux #chantier</t>
  </si>
  <si>
    <t>https://www.instagram.com/p/DYM-gH8iE7I/?utm_source=ig_web_copy_link&amp;igsh=MzRlODBiNWFlZA==</t>
  </si>
  <si>
    <t>Chantier de nuit du l'A1 : Construction du réseau d’assainissement sur la bretelle de la sortie n°8 "Senlis-Bonsecours"💧🌱🚧</t>
  </si>
  <si>
    <t>https://www.facebook.com/sanef1077/posts/pfbid02LtUek4GdGrHLcXJrnNV4xUQZe6QzkVguMMV2aaiaseWB9S9UV68HX3XPGPbkQ16Ql</t>
  </si>
  <si>
    <t>Toujours pas le serpent mystère de Toulouse… mais celui-ci a visiblement pris l’autoroute ! 🐍🚗 (photos d’archive)
#autoroute #sanef #reptiles #insolite</t>
  </si>
  <si>
    <t>https://www.instagram.com/p/DYXKllaHLwk/?utm_source=ig_web_copy_link&amp;igsh=MzRlODBiNWFlZA==</t>
  </si>
  <si>
    <t>Toujours pas le serpent mystère de Toulouse… mais celui-ci a visiblement pris l’autoroute ! 🐍🚗 (photos d’archive)</t>
  </si>
  <si>
    <t>https://www.facebook.com/sanef1077/posts/pfbid06sC9eBreLHVQwmaQFKhJcM4rHgM2aimEuzqNabE7uLqzAGza9F2bfuDRaxynhjSZl</t>
  </si>
  <si>
    <t>Fourgons</t>
  </si>
  <si>
    <t>Dans les coulisses de l'autoroute. Impressionnant, non ? 👷 🛣️</t>
  </si>
  <si>
    <t>https://www.facebook.com/reel/2734190336966556</t>
  </si>
  <si>
    <t>Totem</t>
  </si>
  <si>
    <t>À votre avis, ce panneau mesure combien ? 🤔🚧</t>
  </si>
  <si>
    <t>https://www.facebook.com/reel/2060720994658616</t>
  </si>
  <si>
    <t>Boire au volant</t>
  </si>
  <si>
    <t xml:space="preserve">Boire au volant : Autorisé ou non ? </t>
  </si>
  <si>
    <t>Dans les coulisses de l'autoroute. Impressionnant, non ? 👷 🛣️
#autoroute #sanef #coulisses #exploitation</t>
  </si>
  <si>
    <t>https://www.instagram.com/p/DYhqQGhoCjY/</t>
  </si>
  <si>
    <t>https://www.tiktok.com/@autoroutes.sanef/video/7644207302135893270</t>
  </si>
  <si>
    <t>https://www.youtube.com/shorts/Zkehy-bDkgA</t>
  </si>
  <si>
    <t>Vraie taille des panneaux</t>
  </si>
  <si>
    <t>Sur l'autoroute, TOUT DOIT ÊTRE GROS... 🛣️
Et forcément ça commence par les panneaux de signalisation !
Petite info qui peut paraître inutile, mais pourtant TRÈS importante pour que la route reste un confort pour nos clients 🚙🚗</t>
  </si>
  <si>
    <t>ok JR</t>
  </si>
  <si>
    <t>Zones sur l'autoroute</t>
  </si>
  <si>
    <t>Sur l’autoroute, il y a plein de zones : V1, V2, TPC, BAU... 🛣️
Ça peut paraitre compliqué mais heureusement, on a fait une vidéo pour nos clients... et pour vous aussi 😇 Qu'en pensez-vous ?</t>
  </si>
  <si>
    <t>"C:\Users\davidb\OneDrive - GROUPE SANEF\TEAM DIGITALE - General\02_RESEAUX SOCIAUX\2024\01. Vidéos 2024\FAIT - ZONES DE L'AUTOROUTE\00 FACE CACHÉE - ZONES DE L'AUTOROUTE CC LINKEDIN.mp4"</t>
  </si>
  <si>
    <t>Batmobile</t>
  </si>
  <si>
    <t xml:space="preserve">Quel est le truc le plus insolite ou inattendu que vous avez déjà vu sur l'autoroute ? 🤔 On commence 😁
</t>
  </si>
  <si>
    <t>https://www.facebook.com/sanef1077/posts/pfbid02mJqUpkFtKoPMxzLbG2vetcEkbs4MXsuh1HHGDeLVHMAFifYJvCqb7Mm3EVz2zJt8l</t>
  </si>
  <si>
    <t>Sujet</t>
  </si>
  <si>
    <t>Impressions</t>
  </si>
  <si>
    <t>Portée</t>
  </si>
  <si>
    <t>Interactions</t>
  </si>
  <si>
    <t>Tx d'engagement</t>
  </si>
  <si>
    <t>Programme ambassadeurs</t>
  </si>
  <si>
    <t>QUIZ : Bandes blanches</t>
  </si>
  <si>
    <t xml:space="preserve">Question : Combien mesure une bande blanche sur l'autoroute ? </t>
  </si>
  <si>
    <t xml:space="preserve">Réponse : C'est 39 m ! Tu l'avais ? </t>
  </si>
  <si>
    <t>https://www.instagram.com/stories/autoroutes.sanef/3783910619364209763/</t>
  </si>
  <si>
    <t xml:space="preserve">Question : Combien de bandes blanches doivent séparer deux véhicules ? </t>
  </si>
  <si>
    <t>https://www.instagram.com/stories/autoroutes.sanef/3783911253031300676/</t>
  </si>
  <si>
    <t>Réponse : 1 trait = danger 2 traits = sécurité Donc 2 !</t>
  </si>
  <si>
    <t>https://www.instagram.com/stories/autoroutes.sanef/3783912037013787288/</t>
  </si>
  <si>
    <t>Tunnel</t>
  </si>
  <si>
    <t>La face cachée de l’autoroute 🛣️
Longs couloirs, souterrains secrets, accès dissimulés, l’autoroute invisible du grand public mais pourtant très important 👷‍♂️🚐</t>
  </si>
  <si>
    <t>https://www.tiktok.com/@autoroutes.sanef/video/7579296593292152086</t>
  </si>
  <si>
    <t>La face cachée de l’autoroute 🛣️
Longs couloirs, souterrains secrets, accès dissimulés, l’autoroute invisible du grand public mais pourtant très important 👷‍♂️🚐
#autoroute #sanef #surlaroute #facecachée #a14 #urbex</t>
  </si>
  <si>
    <t>https://www.instagram.com/reel/DRxIJhMCO98/</t>
  </si>
  <si>
    <t>https://www.facebook.com/share/r/1VtZ7Dy38U/</t>
  </si>
  <si>
    <t>QUIZ : Nb de couches qui forment une chaussée</t>
  </si>
  <si>
    <t>Question : combien de couches forment la chaussée d'une autoroute ?</t>
  </si>
  <si>
    <t>https://www.instagram.com/stories/archive/18432902134111261/</t>
  </si>
  <si>
    <t>Réponse : 5 ! tu l'avais ? 😇</t>
  </si>
  <si>
    <t>Sur la route des Vikings</t>
  </si>
  <si>
    <t>Réponse : La bonne réponse était 22 tonnes ! Belle bête, n'est-ce pas ?</t>
  </si>
  <si>
    <t>https://www.instagram.com/stories/archive/18025055981768268/</t>
  </si>
  <si>
    <t>1% artistique</t>
  </si>
  <si>
    <t>Vous connaissez le 1% artistique ? C’est un dispositif créé en 1951 qui attribue 1% du budget des constructions publiques à l’art 🎨 Ça permet...</t>
  </si>
  <si>
    <t>https://www.facebook.com/sanef1077/posts/pfbid02JVgZwVR2nHyRo22WUgH3bmXncbq46WWLmQZVPYvNNerZV8oxsghSK4ZiGuReXJWhl</t>
  </si>
  <si>
    <t xml:space="preserve">Question : Quel poids fait cette oeuvre d’art au bord de l’A13 près de Rouen ? 
</t>
  </si>
  <si>
    <t>Halloween</t>
  </si>
  <si>
    <t>La maison qui saigne de Saint-Quentin près de l'A26: Histoire vraie effrayante ou légende urbaine ?</t>
  </si>
  <si>
    <t>https://www.facebook.com/reel/1168018308607195</t>
  </si>
  <si>
    <t>Tu connais la maison qui saigne de Saint-Quentin ? Dans les années 80, un phénomène étrange apparait dans la pétite ville près de l'autoroute A26 !
Une histoire effrayante entourée de mystère, ou une légende urbaine ?</t>
  </si>
  <si>
    <t>https://www.instagram.com/p/DQcNoszCMWg/</t>
  </si>
  <si>
    <t>https://www.tiktok.com/@autoroutes.sanef/video/7567055134753033494</t>
  </si>
  <si>
    <t>La maison qui saigne de Saint-Quentin : Histoire vraie effrayante ou légende urbaine ?</t>
  </si>
  <si>
    <t>https://www.youtube.com/shorts/WA7X8qvcBto</t>
  </si>
  <si>
    <t>Renovation chaussée</t>
  </si>
  <si>
    <t>Quand on rénove une chaussée, on utilise une partie de l’ancienne ! Mais combien ?
#Autoroute #sanef #chantier #travaux #rénovation</t>
  </si>
  <si>
    <t>https://www.instagram.com/p/DQZlAlCiPKT/</t>
  </si>
  <si>
    <t>Aire de Valmy</t>
  </si>
  <si>
    <t>Quelle construction peut-on voir depuis l'aire de Valmy sur l'A4 ?</t>
  </si>
  <si>
    <t>https://www.instagram.com/stories/archive/18093956956825423/</t>
  </si>
  <si>
    <t>Aire de Valmy/
Fréquence radio</t>
  </si>
  <si>
    <t>Réponse (Un moulin)</t>
  </si>
  <si>
    <t xml:space="preserve">Fréquence radio </t>
  </si>
  <si>
    <t xml:space="preserve">Sur quelle fréquence pouvez-vous retrouver la radio des autoroutes ? </t>
  </si>
  <si>
    <t>Réponse (107.7)</t>
  </si>
  <si>
    <t>Panneaux marrons</t>
  </si>
  <si>
    <t>Saurez-vous identifier ces panneaux marrons ?</t>
  </si>
  <si>
    <t>https://www.instagram.com/stories/archive/17878071378407862/</t>
  </si>
  <si>
    <t xml:space="preserve">Tu mises sur quoi ? </t>
  </si>
  <si>
    <t>Réponse (Val-de-Reuil)</t>
  </si>
  <si>
    <t xml:space="preserve">Quel est ce spot culturel ? </t>
  </si>
  <si>
    <t>Réponse (Château de Martainville)</t>
  </si>
  <si>
    <t xml:space="preserve">Quel est ce lieu mystère ? </t>
  </si>
  <si>
    <t>Réponse (Vallée de l'Andelle)</t>
  </si>
  <si>
    <t xml:space="preserve">Quel est ton score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</si>
</sst>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 &quot;mmmm"/>
    <numFmt numFmtId="166" formatCode="d/m/yyyy"/>
  </numFmts>
  <fonts count="21">
    <font>
      <sz val="10"/>
      <color rgb="FF000000"/>
      <name val="Verdana"/>
      <scheme val="minor"/>
    </font>
    <font>
      <b/>
      <sz val="10"/>
      <color theme="1"/>
      <name val="Arial"/>
      <family val="2"/>
    </font>
    <font>
      <sz val="10"/>
      <color theme="1"/>
      <name val="Verdana"/>
      <family val="2"/>
    </font>
    <font>
      <sz val="10"/>
      <color rgb="FF000000"/>
      <name val="Verdana"/>
      <family val="2"/>
    </font>
    <font>
      <sz val="10"/>
      <color theme="1"/>
      <name val="Arial"/>
      <family val="2"/>
    </font>
    <font>
      <sz val="10"/>
      <color theme="1"/>
      <name val="Verdana"/>
      <family val="2"/>
      <scheme val="minor"/>
    </font>
    <font>
      <b/>
      <sz val="11"/>
      <color theme="1"/>
      <name val="Arial"/>
      <family val="2"/>
    </font>
    <font>
      <u/>
      <sz val="10"/>
      <color rgb="FF0097A7"/>
      <name val="Arial"/>
      <family val="2"/>
    </font>
    <font>
      <u/>
      <sz val="10"/>
      <color rgb="FF0097A7"/>
      <name val="Arial"/>
      <family val="2"/>
    </font>
    <font>
      <u/>
      <sz val="10"/>
      <color rgb="FF0000FF"/>
      <name val="Arial"/>
      <family val="2"/>
    </font>
    <font>
      <sz val="10"/>
      <color rgb="FF1C2B33"/>
      <name val="Inherit"/>
    </font>
    <font>
      <sz val="10"/>
      <color rgb="FF1C2B33"/>
      <name val="Arial"/>
      <family val="2"/>
    </font>
    <font>
      <u/>
      <sz val="10"/>
      <color rgb="FF0000FF"/>
      <name val="Verdana"/>
      <family val="2"/>
    </font>
    <font>
      <u/>
      <sz val="10"/>
      <color rgb="FF0000FF"/>
      <name val="Arial"/>
      <family val="2"/>
    </font>
    <font>
      <u/>
      <sz val="10"/>
      <color rgb="FF0000FF"/>
      <name val="Arial"/>
      <family val="2"/>
    </font>
    <font>
      <u/>
      <sz val="11"/>
      <color rgb="FF0000FF"/>
      <name val="Arial"/>
      <family val="2"/>
    </font>
    <font>
      <u/>
      <sz val="10"/>
      <color rgb="FF0000FF"/>
      <name val="Verdana"/>
      <family val="2"/>
    </font>
    <font>
      <u/>
      <sz val="10"/>
      <color rgb="FF0000FF"/>
      <name val="Arial"/>
      <family val="2"/>
    </font>
    <font>
      <sz val="10"/>
      <color rgb="FF0097A7"/>
      <name val="Verdana"/>
      <family val="2"/>
    </font>
    <font>
      <u/>
      <sz val="10"/>
      <color rgb="FF0000FF"/>
      <name val="Arial"/>
      <family val="2"/>
    </font>
    <font>
      <sz val="10"/>
      <color rgb="FF000000"/>
      <name val="Arial"/>
      <family val="2"/>
    </font>
  </fonts>
  <fills count="6">
    <fill>
      <patternFill patternType="none"/>
    </fill>
    <fill>
      <patternFill patternType="gray125"/>
    </fill>
    <fill>
      <patternFill patternType="solid">
        <fgColor rgb="FFFFFFFF"/>
        <bgColor rgb="FFFFFFFF"/>
      </patternFill>
    </fill>
    <fill>
      <patternFill patternType="solid">
        <fgColor rgb="FF67F191"/>
        <bgColor rgb="FF67F191"/>
      </patternFill>
    </fill>
    <fill>
      <patternFill patternType="solid">
        <fgColor rgb="FFFFC000"/>
        <bgColor rgb="FFFFC000"/>
      </patternFill>
    </fill>
    <fill>
      <patternFill patternType="solid">
        <fgColor theme="9"/>
        <bgColor theme="9"/>
      </patternFill>
    </fill>
  </fills>
  <borders count="8">
    <border>
      <left/>
      <right/>
      <top/>
      <bottom/>
      <diagonal/>
    </border>
    <border>
      <left/>
      <right/>
      <top/>
      <bottom/>
      <diagonal/>
    </border>
    <border>
      <left style="thick">
        <color rgb="FF000000"/>
      </left>
      <right/>
      <top/>
      <bottom/>
      <diagonal/>
    </border>
    <border>
      <left style="thin">
        <color rgb="FF000000"/>
      </left>
      <right style="thick">
        <color rgb="FF000000"/>
      </right>
      <top/>
      <bottom/>
      <diagonal/>
    </border>
    <border>
      <left/>
      <right style="thick">
        <color rgb="FF000000"/>
      </right>
      <top/>
      <bottom/>
      <diagonal/>
    </border>
    <border>
      <left style="thick">
        <color rgb="FF000000"/>
      </left>
      <right/>
      <top/>
      <bottom/>
      <diagonal/>
    </border>
    <border>
      <left style="thin">
        <color rgb="FF000000"/>
      </left>
      <right style="thick">
        <color rgb="FF000000"/>
      </right>
      <top/>
      <bottom/>
      <diagonal/>
    </border>
    <border>
      <left/>
      <right style="thick">
        <color rgb="FF000000"/>
      </right>
      <top/>
      <bottom/>
      <diagonal/>
    </border>
  </borders>
  <cellStyleXfs count="1">
    <xf numFmtId="0" fontId="0" fillId="0" borderId="0"/>
  </cellStyleXfs>
  <cellXfs count="87">
    <xf numFmtId="0" fontId="0" fillId="0" borderId="0" xfId="0"/>
    <xf numFmtId="0" fontId="2" fillId="0" borderId="0" xfId="0" applyFont="1" applyAlignment="1">
      <alignment horizontal="center" vertical="center" wrapText="1"/>
    </xf>
    <xf numFmtId="0" fontId="2" fillId="2" borderId="1" xfId="0" applyFont="1" applyFill="1" applyBorder="1"/>
    <xf numFmtId="0" fontId="5" fillId="0" borderId="0" xfId="0" applyFont="1"/>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3" fontId="1" fillId="3" borderId="2" xfId="0" applyNumberFormat="1" applyFont="1" applyFill="1" applyBorder="1" applyAlignment="1">
      <alignment horizontal="center" vertical="center"/>
    </xf>
    <xf numFmtId="164" fontId="1" fillId="3" borderId="1" xfId="0" applyNumberFormat="1" applyFont="1" applyFill="1" applyBorder="1" applyAlignment="1">
      <alignment horizontal="center" vertical="center"/>
    </xf>
    <xf numFmtId="3" fontId="1" fillId="3" borderId="1" xfId="0" applyNumberFormat="1" applyFont="1" applyFill="1" applyBorder="1" applyAlignment="1">
      <alignment horizontal="center" vertical="center"/>
    </xf>
    <xf numFmtId="3" fontId="1" fillId="3" borderId="3" xfId="0" applyNumberFormat="1" applyFont="1" applyFill="1" applyBorder="1" applyAlignment="1">
      <alignment horizontal="center" vertical="center" wrapText="1"/>
    </xf>
    <xf numFmtId="0" fontId="1" fillId="3" borderId="4" xfId="0" applyFont="1" applyFill="1" applyBorder="1" applyAlignment="1">
      <alignment horizontal="center" vertical="center" wrapText="1"/>
    </xf>
    <xf numFmtId="165" fontId="4" fillId="4" borderId="1" xfId="0" applyNumberFormat="1" applyFont="1" applyFill="1" applyBorder="1" applyAlignment="1">
      <alignment horizontal="center" vertical="center" wrapText="1"/>
    </xf>
    <xf numFmtId="166" fontId="4"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7" fillId="4" borderId="4" xfId="0" applyFont="1" applyFill="1" applyBorder="1" applyAlignment="1">
      <alignment horizontal="left" vertical="top" wrapText="1"/>
    </xf>
    <xf numFmtId="3" fontId="4" fillId="4" borderId="2" xfId="0" applyNumberFormat="1" applyFont="1" applyFill="1" applyBorder="1" applyAlignment="1">
      <alignment horizontal="center" vertical="center"/>
    </xf>
    <xf numFmtId="3" fontId="4" fillId="4" borderId="1" xfId="0" applyNumberFormat="1" applyFont="1" applyFill="1" applyBorder="1" applyAlignment="1">
      <alignment horizontal="center" vertical="center"/>
    </xf>
    <xf numFmtId="164" fontId="4" fillId="4" borderId="3" xfId="0" applyNumberFormat="1" applyFont="1" applyFill="1" applyBorder="1" applyAlignment="1">
      <alignment horizontal="center" vertical="center"/>
    </xf>
    <xf numFmtId="0" fontId="2" fillId="4" borderId="4" xfId="0" applyFont="1" applyFill="1" applyBorder="1" applyAlignment="1">
      <alignment horizontal="center" vertical="center"/>
    </xf>
    <xf numFmtId="0" fontId="2" fillId="4" borderId="1" xfId="0" applyFont="1" applyFill="1" applyBorder="1" applyAlignment="1">
      <alignment vertical="center"/>
    </xf>
    <xf numFmtId="0" fontId="2" fillId="4" borderId="1" xfId="0" applyFont="1" applyFill="1" applyBorder="1"/>
    <xf numFmtId="0" fontId="8" fillId="4" borderId="1" xfId="0" applyFont="1" applyFill="1" applyBorder="1" applyAlignment="1">
      <alignment horizontal="left" vertical="top" wrapText="1"/>
    </xf>
    <xf numFmtId="164" fontId="4" fillId="4" borderId="3" xfId="0" applyNumberFormat="1" applyFont="1" applyFill="1" applyBorder="1" applyAlignment="1">
      <alignment horizontal="center" vertical="center" wrapText="1"/>
    </xf>
    <xf numFmtId="0" fontId="3" fillId="4" borderId="1" xfId="0" applyFont="1" applyFill="1" applyBorder="1"/>
    <xf numFmtId="0" fontId="9" fillId="4" borderId="1" xfId="0" applyFont="1" applyFill="1" applyBorder="1" applyAlignment="1">
      <alignment horizontal="left" vertical="top" wrapText="1"/>
    </xf>
    <xf numFmtId="3" fontId="10" fillId="4" borderId="2" xfId="0" applyNumberFormat="1" applyFont="1" applyFill="1" applyBorder="1" applyAlignment="1">
      <alignment horizontal="center" vertical="center"/>
    </xf>
    <xf numFmtId="3" fontId="11" fillId="4" borderId="1" xfId="0" applyNumberFormat="1" applyFont="1" applyFill="1" applyBorder="1" applyAlignment="1">
      <alignment horizontal="center" vertical="center"/>
    </xf>
    <xf numFmtId="0" fontId="12" fillId="4" borderId="4" xfId="0" applyFont="1" applyFill="1" applyBorder="1" applyAlignment="1">
      <alignment horizontal="left" vertical="top" wrapText="1"/>
    </xf>
    <xf numFmtId="0" fontId="2" fillId="4" borderId="1" xfId="0" applyFont="1" applyFill="1" applyBorder="1" applyAlignment="1">
      <alignment horizontal="center" vertical="center" wrapText="1"/>
    </xf>
    <xf numFmtId="0" fontId="13" fillId="4" borderId="4" xfId="0" applyFont="1" applyFill="1" applyBorder="1" applyAlignment="1">
      <alignment horizontal="left" vertical="top" wrapText="1"/>
    </xf>
    <xf numFmtId="0" fontId="14" fillId="4" borderId="1" xfId="0" applyFont="1" applyFill="1" applyBorder="1" applyAlignment="1">
      <alignment horizontal="center" vertical="center" wrapText="1"/>
    </xf>
    <xf numFmtId="0" fontId="15" fillId="4" borderId="1" xfId="0" applyFont="1" applyFill="1" applyBorder="1" applyAlignment="1">
      <alignment horizontal="left" vertical="top" wrapText="1"/>
    </xf>
    <xf numFmtId="0" fontId="4" fillId="4" borderId="1" xfId="0" applyFont="1" applyFill="1" applyBorder="1" applyAlignment="1">
      <alignment wrapText="1"/>
    </xf>
    <xf numFmtId="0" fontId="4" fillId="4" borderId="2" xfId="0" applyFont="1" applyFill="1" applyBorder="1" applyAlignment="1">
      <alignment horizontal="center" vertical="center"/>
    </xf>
    <xf numFmtId="0" fontId="4" fillId="4" borderId="1" xfId="0" applyFont="1" applyFill="1" applyBorder="1" applyAlignment="1">
      <alignment horizontal="center" vertical="center"/>
    </xf>
    <xf numFmtId="0" fontId="16" fillId="4" borderId="1" xfId="0" applyFont="1" applyFill="1" applyBorder="1" applyAlignment="1">
      <alignment wrapText="1"/>
    </xf>
    <xf numFmtId="0" fontId="17" fillId="4" borderId="1" xfId="0" applyFont="1" applyFill="1" applyBorder="1" applyAlignment="1">
      <alignment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top"/>
    </xf>
    <xf numFmtId="0" fontId="18" fillId="0" borderId="0" xfId="0" applyFont="1"/>
    <xf numFmtId="0" fontId="2" fillId="0" borderId="5" xfId="0" applyFont="1" applyBorder="1"/>
    <xf numFmtId="0" fontId="2" fillId="0" borderId="6" xfId="0" applyFont="1" applyBorder="1"/>
    <xf numFmtId="0" fontId="2" fillId="2" borderId="4"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164" fontId="1" fillId="5" borderId="1" xfId="0" applyNumberFormat="1"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5" borderId="4" xfId="0" applyFont="1" applyFill="1" applyBorder="1" applyAlignment="1">
      <alignment horizontal="center" vertical="center" wrapText="1"/>
    </xf>
    <xf numFmtId="3" fontId="1" fillId="5" borderId="1" xfId="0" applyNumberFormat="1" applyFont="1" applyFill="1" applyBorder="1" applyAlignment="1">
      <alignment horizontal="center" vertical="center"/>
    </xf>
    <xf numFmtId="164" fontId="1" fillId="5" borderId="1" xfId="0" applyNumberFormat="1" applyFont="1" applyFill="1" applyBorder="1" applyAlignment="1">
      <alignment horizontal="center" vertical="center"/>
    </xf>
    <xf numFmtId="3" fontId="1" fillId="5" borderId="1" xfId="0" applyNumberFormat="1" applyFont="1" applyFill="1" applyBorder="1" applyAlignment="1">
      <alignment horizontal="center" vertical="center" wrapText="1"/>
    </xf>
    <xf numFmtId="0" fontId="6" fillId="5" borderId="4" xfId="0" applyFont="1" applyFill="1" applyBorder="1" applyAlignment="1">
      <alignment horizontal="center" vertical="center" wrapText="1"/>
    </xf>
    <xf numFmtId="0" fontId="4" fillId="0" borderId="0" xfId="0" applyFont="1" applyAlignment="1">
      <alignment horizontal="center" vertical="center"/>
    </xf>
    <xf numFmtId="166" fontId="2" fillId="4" borderId="0" xfId="0" applyNumberFormat="1" applyFont="1" applyFill="1" applyAlignment="1">
      <alignment horizontal="center" vertical="center"/>
    </xf>
    <xf numFmtId="0" fontId="2" fillId="4" borderId="0" xfId="0" applyFont="1" applyFill="1" applyAlignment="1">
      <alignment horizontal="center" vertical="center"/>
    </xf>
    <xf numFmtId="0" fontId="4" fillId="4" borderId="1" xfId="0" applyFont="1" applyFill="1" applyBorder="1" applyAlignment="1">
      <alignment horizontal="left" vertical="center" wrapText="1"/>
    </xf>
    <xf numFmtId="0" fontId="19" fillId="4" borderId="4" xfId="0" applyFont="1" applyFill="1" applyBorder="1" applyAlignment="1">
      <alignment vertical="center" wrapText="1"/>
    </xf>
    <xf numFmtId="0" fontId="2" fillId="4" borderId="7" xfId="0" applyFont="1" applyFill="1" applyBorder="1" applyAlignment="1">
      <alignment vertical="center"/>
    </xf>
    <xf numFmtId="0" fontId="5" fillId="4" borderId="0" xfId="0" applyFont="1" applyFill="1"/>
    <xf numFmtId="0" fontId="20" fillId="4" borderId="1" xfId="0" applyFont="1" applyFill="1" applyBorder="1" applyAlignment="1">
      <alignment horizontal="center" vertical="center"/>
    </xf>
    <xf numFmtId="0" fontId="2" fillId="4" borderId="0" xfId="0" applyFont="1" applyFill="1" applyAlignment="1">
      <alignment vertical="center"/>
    </xf>
    <xf numFmtId="165" fontId="4" fillId="4" borderId="0" xfId="0" applyNumberFormat="1" applyFont="1" applyFill="1" applyAlignment="1">
      <alignment horizontal="center" vertical="center" wrapText="1"/>
    </xf>
    <xf numFmtId="166" fontId="4" fillId="4" borderId="0" xfId="0" applyNumberFormat="1" applyFont="1" applyFill="1" applyAlignment="1">
      <alignment horizontal="center" vertical="center"/>
    </xf>
    <xf numFmtId="0" fontId="2" fillId="4" borderId="4" xfId="0" applyFont="1" applyFill="1" applyBorder="1" applyAlignment="1">
      <alignment vertical="center"/>
    </xf>
    <xf numFmtId="0" fontId="4" fillId="2" borderId="1" xfId="0" applyFont="1" applyFill="1" applyBorder="1" applyAlignment="1">
      <alignment horizontal="center" vertical="center" wrapText="1"/>
    </xf>
    <xf numFmtId="166"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7" xfId="0" applyFont="1" applyBorder="1" applyAlignment="1">
      <alignment vertical="center" wrapText="1"/>
    </xf>
    <xf numFmtId="3" fontId="4" fillId="0" borderId="0" xfId="0" applyNumberFormat="1" applyFont="1" applyAlignment="1">
      <alignment horizontal="center" vertical="center"/>
    </xf>
    <xf numFmtId="164" fontId="4" fillId="0" borderId="6" xfId="0" applyNumberFormat="1" applyFont="1" applyBorder="1" applyAlignment="1">
      <alignment horizontal="center" vertical="center" wrapText="1"/>
    </xf>
    <xf numFmtId="0" fontId="2" fillId="0" borderId="7" xfId="0" applyFont="1" applyBorder="1" applyAlignment="1">
      <alignment vertical="center"/>
    </xf>
    <xf numFmtId="3" fontId="4" fillId="0" borderId="0" xfId="0" applyNumberFormat="1" applyFont="1"/>
    <xf numFmtId="0" fontId="4" fillId="0" borderId="0" xfId="0" applyFont="1"/>
    <xf numFmtId="0" fontId="2" fillId="0" borderId="0" xfId="0" applyFont="1" applyAlignment="1">
      <alignment horizontal="left" vertical="center" wrapText="1"/>
    </xf>
    <xf numFmtId="0" fontId="2" fillId="0" borderId="7" xfId="0" applyFont="1" applyBorder="1" applyAlignment="1">
      <alignment vertical="center" wrapText="1"/>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autoTitleDeleted val="1"/>
    <c:plotArea>
      <c:layout/>
      <c:pieChart>
        <c:varyColors val="1"/>
        <c:ser>
          <c:idx val="0"/>
          <c:order val="0"/>
          <c:val>
            <c:numRef>
              <c:f>#REF!</c:f>
            </c:numRef>
          </c:val>
          <c:extLst>
            <c:ext xmlns:c16="http://schemas.microsoft.com/office/drawing/2014/chart" uri="{C3380CC4-5D6E-409C-BE32-E72D297353CC}">
              <c16:uniqueId val="{00000000-D615-424B-AE3D-9729E06C25F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i="0">
              <a:solidFill>
                <a:srgbClr val="394E57"/>
              </a:solidFill>
              <a:latin typeface="+mn-lt"/>
            </a:defRPr>
          </a:pPr>
          <a:endParaRPr lang="fr-F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17</xdr:col>
      <xdr:colOff>733425</xdr:colOff>
      <xdr:row>1</xdr:row>
      <xdr:rowOff>0</xdr:rowOff>
    </xdr:from>
    <xdr:ext cx="5286375" cy="3267075"/>
    <xdr:graphicFrame macro="">
      <xdr:nvGraphicFramePr>
        <xdr:cNvPr id="2027054513" name="Chart 1" title="Graphique">
          <a:extLst>
            <a:ext uri="{FF2B5EF4-FFF2-40B4-BE49-F238E27FC236}">
              <a16:creationId xmlns:a16="http://schemas.microsoft.com/office/drawing/2014/main" id="{00000000-0008-0000-0300-0000B165D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facebook.com/sanef1077/posts/pfbid02PAbTX9LpWGXyNrCL8VDwDe93VknzeinSVvdQq3pm6su2NSGkMWSMJF2obDf7tdWql" TargetMode="External"/><Relationship Id="rId21" Type="http://schemas.openxmlformats.org/officeDocument/2006/relationships/hyperlink" Target="https://www.instagram.com/reel/DVJcXY9iCUZ/?utm_source=ig_web_copy_link&amp;igsh=MzRlODBiNWFlZA==" TargetMode="External"/><Relationship Id="rId42" Type="http://schemas.openxmlformats.org/officeDocument/2006/relationships/hyperlink" Target="https://www.instagram.com/p/DVbcQxRCrVO/?img_index=1" TargetMode="External"/><Relationship Id="rId47" Type="http://schemas.openxmlformats.org/officeDocument/2006/relationships/hyperlink" Target="https://www.instagram.com/stories/archive/18078619121083770/" TargetMode="External"/><Relationship Id="rId63" Type="http://schemas.openxmlformats.org/officeDocument/2006/relationships/hyperlink" Target="https://www.instagram.com/p/DYCmeUYDW9n/?utm_source=ig_web_copy_link&amp;igsh=NTc4MTIwNjQ2YQ==" TargetMode="External"/><Relationship Id="rId68" Type="http://schemas.openxmlformats.org/officeDocument/2006/relationships/hyperlink" Target="https://www.instagram.com/p/DY60CNqCJgk/?utm_source=ig_web_copy_link&amp;igsh=MzRlODBiNWFlZA==" TargetMode="External"/><Relationship Id="rId16" Type="http://schemas.openxmlformats.org/officeDocument/2006/relationships/hyperlink" Target="https://www.instagram.com/stories/autoroutes.sanef/3833034548389085794/" TargetMode="External"/><Relationship Id="rId11" Type="http://schemas.openxmlformats.org/officeDocument/2006/relationships/hyperlink" Target="https://www.instagram.com/reel/DUSsExsiOZC/" TargetMode="External"/><Relationship Id="rId24" Type="http://schemas.openxmlformats.org/officeDocument/2006/relationships/hyperlink" Target="https://www.youtube.com/shorts/DYsyWM2TexQ" TargetMode="External"/><Relationship Id="rId32" Type="http://schemas.openxmlformats.org/officeDocument/2006/relationships/hyperlink" Target="https://fb.watch/FYIgukr-2v/" TargetMode="External"/><Relationship Id="rId37" Type="http://schemas.openxmlformats.org/officeDocument/2006/relationships/hyperlink" Target="https://www.instagram.com/p/DWO8J_fEmGJ/?img_index=1" TargetMode="External"/><Relationship Id="rId40" Type="http://schemas.openxmlformats.org/officeDocument/2006/relationships/hyperlink" Target="https://www.youtube.com/shorts/K3MrxgiIQQU" TargetMode="External"/><Relationship Id="rId45" Type="http://schemas.openxmlformats.org/officeDocument/2006/relationships/hyperlink" Target="https://www.tiktok.com/@autoroutes.sanef/video/7620857414270733590" TargetMode="External"/><Relationship Id="rId53" Type="http://schemas.openxmlformats.org/officeDocument/2006/relationships/hyperlink" Target="https://www.instagram.com/reel/DWoohk-iIcx/?utm_source=ig_web_copy_link&amp;igsh=MzRlODBiNWFlZA==" TargetMode="External"/><Relationship Id="rId58" Type="http://schemas.openxmlformats.org/officeDocument/2006/relationships/hyperlink" Target="https://www.instagram.com/stories/autoroutes.sanef/" TargetMode="External"/><Relationship Id="rId66" Type="http://schemas.openxmlformats.org/officeDocument/2006/relationships/hyperlink" Target="https://www.facebook.com/sanef1077/posts/pfbid0gp8tzwSRdgAUmgKNqTUuu1AQcBgQj7CTkYnQrpvsj2q39ouVh4G23JP3oFmdeeEtl" TargetMode="External"/><Relationship Id="rId74" Type="http://schemas.openxmlformats.org/officeDocument/2006/relationships/hyperlink" Target="https://www.facebook.com/reel/2734190336966556" TargetMode="External"/><Relationship Id="rId79" Type="http://schemas.openxmlformats.org/officeDocument/2006/relationships/hyperlink" Target="https://www.youtube.com/shorts/Zkehy-bDkgA" TargetMode="External"/><Relationship Id="rId5" Type="http://schemas.openxmlformats.org/officeDocument/2006/relationships/hyperlink" Target="http://facebook.com/reel/2019441936119526/" TargetMode="External"/><Relationship Id="rId61" Type="http://schemas.openxmlformats.org/officeDocument/2006/relationships/hyperlink" Target="https://www.linkedin.com/posts/sanef_les-vikings-prennent-lautoroute-activity-7464925800643948544-XQ2K?utm_source=share&amp;utm_medium=member_desktop&amp;rcm=ACoAACMODa0BdtYsK7nwpba2LogRKeo-_dfP5bQ" TargetMode="External"/><Relationship Id="rId19" Type="http://schemas.openxmlformats.org/officeDocument/2006/relationships/hyperlink" Target="https://www.facebook.com/sanef1077/posts/pfbid0JkG6QMjW7VGiupAcUUfXMSwymBWh2CeafhmAE8iHDPnDBUEuyFCyNWaXM13e4BDvl" TargetMode="External"/><Relationship Id="rId14" Type="http://schemas.openxmlformats.org/officeDocument/2006/relationships/hyperlink" Target="https://www.linkedin.com/posts/sanef_la-semaine-derni%C3%A8re-on-vous-a-pr%C3%A9sent%C3%A9-le-activity-7426883885877088257-6Vbh/?utm_source=share&amp;utm_medium=member_desktop&amp;rcm=ACoAACMODa0BdtYsK7nwpba2LogRKeo-_dfP5bQ" TargetMode="External"/><Relationship Id="rId22" Type="http://schemas.openxmlformats.org/officeDocument/2006/relationships/hyperlink" Target="https://www.tiktok.com/@autoroutes.sanef/video/7610471534771178754" TargetMode="External"/><Relationship Id="rId27" Type="http://schemas.openxmlformats.org/officeDocument/2006/relationships/hyperlink" Target="https://www.facebook.com/reel/788912323876142" TargetMode="External"/><Relationship Id="rId30" Type="http://schemas.openxmlformats.org/officeDocument/2006/relationships/hyperlink" Target="https://www.facebook.com/sanef1077/posts/pfbid0E8NoegXFmnbM4wooDVfvuZ3yMSZhYDiY3VzuaCWNEsFvn9eQdxm32AP2pKtbAvCPl" TargetMode="External"/><Relationship Id="rId35" Type="http://schemas.openxmlformats.org/officeDocument/2006/relationships/hyperlink" Target="https://www.instagram.com/p/DWRg-MEiAQY/" TargetMode="External"/><Relationship Id="rId43" Type="http://schemas.openxmlformats.org/officeDocument/2006/relationships/hyperlink" Target="https://www.youtube.com/shorts/aXcpwObm-Wk" TargetMode="External"/><Relationship Id="rId48" Type="http://schemas.openxmlformats.org/officeDocument/2006/relationships/hyperlink" Target="https://www.instagram.com/stories/archive/18093074768007789/" TargetMode="External"/><Relationship Id="rId56" Type="http://schemas.openxmlformats.org/officeDocument/2006/relationships/hyperlink" Target="https://www.linkedin.com/posts/sanef_saviez-vous-que-lire-un-message-en-conduisant-activity-7454778935189401601-1hL3?utm_source=share&amp;utm_medium=member_desktop&amp;rcm=ACoAACMODa0BdtYsK7nwpba2LogRKeo-_dfP5bQ" TargetMode="External"/><Relationship Id="rId64" Type="http://schemas.openxmlformats.org/officeDocument/2006/relationships/hyperlink" Target="https://www.facebook.com/sanef1077/posts/pfbid023tk4dLRB3qeXRmxtkouBh4J7VWQdXkYtFD2DRU7wTdedwjgriTGiA6VmPiqTC7qDl" TargetMode="External"/><Relationship Id="rId69" Type="http://schemas.openxmlformats.org/officeDocument/2006/relationships/hyperlink" Target="https://www.facebook.com/sanef1077/posts/pfbid06aboHceiLP8x1hmHpfufRGia8wwXt7erKfEyEYufzM3yReXMizdQHu2nLS9btoYtl" TargetMode="External"/><Relationship Id="rId77" Type="http://schemas.openxmlformats.org/officeDocument/2006/relationships/hyperlink" Target="https://www.instagram.com/p/DYhqQGhoCjY/" TargetMode="External"/><Relationship Id="rId8" Type="http://schemas.openxmlformats.org/officeDocument/2006/relationships/hyperlink" Target="https://www.facebook.com/sanef1077/posts/pfbid02rSugDS13N3i5SRWLegNPsQFZAqfG2EaMeMKMD9MZhWYKwnaZjSLaexA9HwV6pj9hl" TargetMode="External"/><Relationship Id="rId51" Type="http://schemas.openxmlformats.org/officeDocument/2006/relationships/hyperlink" Target="https://www.linkedin.com/posts/sanef_comment-savoir-si-la-chauss%C3%A9e-offre-encore-activity-7447168794575134722-Rrmc?utm_source=share&amp;utm_medium=member_desktop&amp;rcm=ACoAACMODa0BdtYsK7nwpba2LogRKeo-_dfP5bQ" TargetMode="External"/><Relationship Id="rId72" Type="http://schemas.openxmlformats.org/officeDocument/2006/relationships/hyperlink" Target="https://www.instagram.com/p/DYXKllaHLwk/?utm_source=ig_web_copy_link&amp;igsh=MzRlODBiNWFlZA==" TargetMode="External"/><Relationship Id="rId80" Type="http://schemas.openxmlformats.org/officeDocument/2006/relationships/hyperlink" Target="https://www.facebook.com/sanef1077/posts/pfbid02mJqUpkFtKoPMxzLbG2vetcEkbs4MXsuh1HHGDeLVHMAFifYJvCqb7Mm3EVz2zJt8l" TargetMode="External"/><Relationship Id="rId3" Type="http://schemas.openxmlformats.org/officeDocument/2006/relationships/hyperlink" Target="https://www.instagram.com/reel/DTN3DQLiD8K/" TargetMode="External"/><Relationship Id="rId12" Type="http://schemas.openxmlformats.org/officeDocument/2006/relationships/hyperlink" Target="https://www.instagram.com/stories/archive/18150519841448779/" TargetMode="External"/><Relationship Id="rId17" Type="http://schemas.openxmlformats.org/officeDocument/2006/relationships/hyperlink" Target="https://www.instagram.com/p/DU0yR9_GpAd/?utm_source=ig_web_copy_link&amp;igsh=MzRlODBiNWFlZA==" TargetMode="External"/><Relationship Id="rId25" Type="http://schemas.openxmlformats.org/officeDocument/2006/relationships/hyperlink" Target="https://www.linkedin.com/posts/sanef_environnement-infrastructure-autoroute-activity-7431963615525572608--tNG?utm_source=share&amp;utm_medium=member_desktop&amp;rcm=ACoAACMODa0BdtYsK7nwpba2LogRKeo-_dfP5bQ" TargetMode="External"/><Relationship Id="rId33" Type="http://schemas.openxmlformats.org/officeDocument/2006/relationships/hyperlink" Target="https://www.linkedin.com/feed/update/urn:li:activity:7434500341997477889" TargetMode="External"/><Relationship Id="rId38" Type="http://schemas.openxmlformats.org/officeDocument/2006/relationships/hyperlink" Target="https://www.linkedin.com/posts/sanef_et-si-une-route-pouvait-avoir-plusieurs-vies-activity-7439573772304715776-ipob?utm_source=share&amp;utm_medium=member_desktop&amp;rcm=ACoAACMODa0BdtYsK7nwpba2LogRKeo-_dfP5bQ" TargetMode="External"/><Relationship Id="rId46" Type="http://schemas.openxmlformats.org/officeDocument/2006/relationships/hyperlink" Target="https://www.instagram.com/stories/archive/17939853348155142/" TargetMode="External"/><Relationship Id="rId59" Type="http://schemas.openxmlformats.org/officeDocument/2006/relationships/hyperlink" Target="https://www.facebook.com/sanef1077/posts/pfbid0mznWu7zN11Skgh69UM41EemRKGQ8x7za2GqHPeFMNQ485qo4WGrJN4Sonqwncsapl" TargetMode="External"/><Relationship Id="rId67" Type="http://schemas.openxmlformats.org/officeDocument/2006/relationships/hyperlink" Target="https://www.instagram.com/p/DX_IOnDmiBT/?utm_source=ig_web_copy_link&amp;igsh=MzRlODBiNWFlZA==" TargetMode="External"/><Relationship Id="rId20" Type="http://schemas.openxmlformats.org/officeDocument/2006/relationships/hyperlink" Target="https://www.instagram.com/p/DU8gdsqiKAm/?utm_source=ig_web_copy_link&amp;igsh=MzRlODBiNWFlZA==" TargetMode="External"/><Relationship Id="rId41" Type="http://schemas.openxmlformats.org/officeDocument/2006/relationships/hyperlink" Target="https://www.instagram.com/reel/DWO-5pWCN1E/" TargetMode="External"/><Relationship Id="rId54" Type="http://schemas.openxmlformats.org/officeDocument/2006/relationships/hyperlink" Target="https://www.facebook.com/Gendarmerie70/posts/pfbid0327QoKH2tHGW1n5VwbKuSp27wWz6zHsb7uDAhAGKvS1rzHwWUjtPKC56P9b5vy5mol" TargetMode="External"/><Relationship Id="rId62" Type="http://schemas.openxmlformats.org/officeDocument/2006/relationships/hyperlink" Target="https://www.facebook.com/sanef1077/posts/pfbid0vYVqHGFCytiXZ6t55hs9oazEeti9rq8w2a596mV68txEfZMBeL85Tw9UekJNUNeUl" TargetMode="External"/><Relationship Id="rId70" Type="http://schemas.openxmlformats.org/officeDocument/2006/relationships/hyperlink" Target="https://www.instagram.com/p/DYM-gH8iE7I/?utm_source=ig_web_copy_link&amp;igsh=MzRlODBiNWFlZA==" TargetMode="External"/><Relationship Id="rId75" Type="http://schemas.openxmlformats.org/officeDocument/2006/relationships/hyperlink" Target="https://www.facebook.com/reel/2060720994658616" TargetMode="External"/><Relationship Id="rId1" Type="http://schemas.openxmlformats.org/officeDocument/2006/relationships/hyperlink" Target="https://www.instagram.com/reel/DTInHvLiKui/" TargetMode="External"/><Relationship Id="rId6" Type="http://schemas.openxmlformats.org/officeDocument/2006/relationships/hyperlink" Target="https://www.instagram.com/stories/autoroutes.sanef/3814355599052295972/" TargetMode="External"/><Relationship Id="rId15" Type="http://schemas.openxmlformats.org/officeDocument/2006/relationships/hyperlink" Target="https://www.instagram.com/stories/autoroutes.sanef/" TargetMode="External"/><Relationship Id="rId23" Type="http://schemas.openxmlformats.org/officeDocument/2006/relationships/hyperlink" Target="https://www.facebook.com/reel/947950194584636" TargetMode="External"/><Relationship Id="rId28" Type="http://schemas.openxmlformats.org/officeDocument/2006/relationships/hyperlink" Target="https://www.linkedin.com/feed/update/urn:li:activity:7442110463716450304" TargetMode="External"/><Relationship Id="rId36" Type="http://schemas.openxmlformats.org/officeDocument/2006/relationships/hyperlink" Target="https://www.linkedin.com/posts/sanef_autoroutes-entretien-saezcuritaez-activity-7437037047611174912-9mk3?utm_source=share&amp;utm_medium=member_desktop&amp;rcm=ACoAACMODa0BdtYsK7nwpba2LogRKeo-_dfP5bQ" TargetMode="External"/><Relationship Id="rId49" Type="http://schemas.openxmlformats.org/officeDocument/2006/relationships/hyperlink" Target="https://www.tiktok.com/@autoroutes.sanef/video/7619012566630550806" TargetMode="External"/><Relationship Id="rId57" Type="http://schemas.openxmlformats.org/officeDocument/2006/relationships/hyperlink" Target="https://www.instagram.com/stories/autoroutes.sanef/3884618865955073752/" TargetMode="External"/><Relationship Id="rId10" Type="http://schemas.openxmlformats.org/officeDocument/2006/relationships/hyperlink" Target="http://facebook.com/reel/1526468625081563/" TargetMode="External"/><Relationship Id="rId31" Type="http://schemas.openxmlformats.org/officeDocument/2006/relationships/hyperlink" Target="https://www.linkedin.com/posts/clac-clac-ce-bruit-sur-lautoroute-vous-ugcPost-7444632105009053696-Co19?utm_source=share&amp;utm_medium=member_desktop&amp;rcm=ACoAACMODa0BdtYsK7nwpba2LogRKeo-_dfP5bQ" TargetMode="External"/><Relationship Id="rId44" Type="http://schemas.openxmlformats.org/officeDocument/2006/relationships/hyperlink" Target="https://www.instagram.com/reel/DWEtGwCiBl8/?utm_source=ig_web_copy_link&amp;igsh=MzRlODBiNWFlZA==" TargetMode="External"/><Relationship Id="rId52" Type="http://schemas.openxmlformats.org/officeDocument/2006/relationships/hyperlink" Target="https://www.facebook.com/sanef1077/posts/pfbid0C8kBtHXAHhK6tY1oWsD8hEfHGiyESshcoKU8EBa534P8QvMUoRRTfABXkME3M1aal" TargetMode="External"/><Relationship Id="rId60" Type="http://schemas.openxmlformats.org/officeDocument/2006/relationships/hyperlink" Target="https://www.linkedin.com/posts/sanef_la-bau-%C3%A7a-vous-parle-le-jargon-autoroutier-activity-7462389079456804864-2Yl6?utm_source=share&amp;utm_medium=member_desktop&amp;rcm=ACoAACMODa0BdtYsK7nwpba2LogRKeo-_dfP5bQ" TargetMode="External"/><Relationship Id="rId65" Type="http://schemas.openxmlformats.org/officeDocument/2006/relationships/hyperlink" Target="https://www.instagram.com/p/DX8lRntCHaC/?utm_source=ig_web_copy_link&amp;igsh=NTc4MTIwNjQ2YQ==" TargetMode="External"/><Relationship Id="rId73" Type="http://schemas.openxmlformats.org/officeDocument/2006/relationships/hyperlink" Target="https://www.facebook.com/sanef1077/posts/pfbid06sC9eBreLHVQwmaQFKhJcM4rHgM2aimEuzqNabE7uLqzAGza9F2bfuDRaxynhjSZl" TargetMode="External"/><Relationship Id="rId78" Type="http://schemas.openxmlformats.org/officeDocument/2006/relationships/hyperlink" Target="https://www.tiktok.com/@autoroutes.sanef/video/7644207302135893270" TargetMode="External"/><Relationship Id="rId4" Type="http://schemas.openxmlformats.org/officeDocument/2006/relationships/hyperlink" Target="https://www.tiktok.com/@autoroutes.sanef/video/7592660456666336534" TargetMode="External"/><Relationship Id="rId9" Type="http://schemas.openxmlformats.org/officeDocument/2006/relationships/hyperlink" Target="https://www.tiktok.com/@autoroutes.sanef/video/7602582139355401494" TargetMode="External"/><Relationship Id="rId13" Type="http://schemas.openxmlformats.org/officeDocument/2006/relationships/hyperlink" Target="https://www.instagram.com/stories/archive/18150519841448779/" TargetMode="External"/><Relationship Id="rId18" Type="http://schemas.openxmlformats.org/officeDocument/2006/relationships/hyperlink" Target="https://www.facebook.com/sanef1077/posts/pfbid02r9mrRj93SQhExamaTbf8PgydwXGYjUVePCUwEYfDsbMW1dXnbWBganP8nx4gFM2xl" TargetMode="External"/><Relationship Id="rId39" Type="http://schemas.openxmlformats.org/officeDocument/2006/relationships/hyperlink" Target="https://www.instagram.com/reel/DV_eecZiMTG/?utm_source=ig_web_copy_link&amp;igsh=MzRlODBiNWFlZA==" TargetMode="External"/><Relationship Id="rId34" Type="http://schemas.openxmlformats.org/officeDocument/2006/relationships/hyperlink" Target="https://www.instagram.com/p/DVgrX7TCIrG/" TargetMode="External"/><Relationship Id="rId50" Type="http://schemas.openxmlformats.org/officeDocument/2006/relationships/hyperlink" Target="https://www.facebook.com/sanef1077/posts/pfbid02VXjJcz2GUJ85RHwnFzZ6FCj8pmLbmzg83oPXWgHh3Mx4oR8P8wYjvvx9RtDG7syLl" TargetMode="External"/><Relationship Id="rId55" Type="http://schemas.openxmlformats.org/officeDocument/2006/relationships/hyperlink" Target="https://www.linkedin.com/feed/update/urn:li:activity:7449705523576270848" TargetMode="External"/><Relationship Id="rId76" Type="http://schemas.openxmlformats.org/officeDocument/2006/relationships/hyperlink" Target="https://www.instagram.com/stories/autoroutes.sanef/" TargetMode="External"/><Relationship Id="rId7" Type="http://schemas.openxmlformats.org/officeDocument/2006/relationships/hyperlink" Target="https://www.instagram.com/stories/autoroutes.sanef/3814355674809792881/" TargetMode="External"/><Relationship Id="rId71" Type="http://schemas.openxmlformats.org/officeDocument/2006/relationships/hyperlink" Target="https://www.facebook.com/sanef1077/posts/pfbid02LtUek4GdGrHLcXJrnNV4xUQZe6QzkVguMMV2aaiaseWB9S9UV68HX3XPGPbkQ16Ql" TargetMode="External"/><Relationship Id="rId2" Type="http://schemas.openxmlformats.org/officeDocument/2006/relationships/hyperlink" Target="http://facebook.com/reel/3840257266267650/" TargetMode="External"/><Relationship Id="rId29" Type="http://schemas.openxmlformats.org/officeDocument/2006/relationships/hyperlink" Target="https://www.facebook.com/reel/2608000173165118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stagram.com/stories/archive/18432902134111261/" TargetMode="External"/><Relationship Id="rId13" Type="http://schemas.openxmlformats.org/officeDocument/2006/relationships/hyperlink" Target="https://www.facebook.com/reel/1168018308607195" TargetMode="External"/><Relationship Id="rId18" Type="http://schemas.openxmlformats.org/officeDocument/2006/relationships/hyperlink" Target="https://www.instagram.com/stories/archive/18093956956825423/" TargetMode="External"/><Relationship Id="rId26" Type="http://schemas.openxmlformats.org/officeDocument/2006/relationships/hyperlink" Target="https://www.instagram.com/stories/archive/17878071378407862/" TargetMode="External"/><Relationship Id="rId3" Type="http://schemas.openxmlformats.org/officeDocument/2006/relationships/hyperlink" Target="https://www.instagram.com/stories/autoroutes.sanef/3783911253031300676/" TargetMode="External"/><Relationship Id="rId21" Type="http://schemas.openxmlformats.org/officeDocument/2006/relationships/hyperlink" Target="https://www.instagram.com/stories/archive/18093956956825423/" TargetMode="External"/><Relationship Id="rId7" Type="http://schemas.openxmlformats.org/officeDocument/2006/relationships/hyperlink" Target="https://www.facebook.com/share/r/1VtZ7Dy38U/" TargetMode="External"/><Relationship Id="rId12" Type="http://schemas.openxmlformats.org/officeDocument/2006/relationships/hyperlink" Target="https://www.instagram.com/stories/archive/18025055981768268/" TargetMode="External"/><Relationship Id="rId17" Type="http://schemas.openxmlformats.org/officeDocument/2006/relationships/hyperlink" Target="https://www.instagram.com/p/DQZlAlCiPKT/" TargetMode="External"/><Relationship Id="rId25" Type="http://schemas.openxmlformats.org/officeDocument/2006/relationships/hyperlink" Target="https://www.instagram.com/stories/archive/17878071378407862/" TargetMode="External"/><Relationship Id="rId2" Type="http://schemas.openxmlformats.org/officeDocument/2006/relationships/hyperlink" Target="https://www.instagram.com/stories/autoroutes.sanef/3783910619364209763/" TargetMode="External"/><Relationship Id="rId16" Type="http://schemas.openxmlformats.org/officeDocument/2006/relationships/hyperlink" Target="https://www.youtube.com/shorts/WA7X8qvcBto" TargetMode="External"/><Relationship Id="rId20" Type="http://schemas.openxmlformats.org/officeDocument/2006/relationships/hyperlink" Target="https://www.instagram.com/stories/archive/18093956956825423/" TargetMode="External"/><Relationship Id="rId29" Type="http://schemas.openxmlformats.org/officeDocument/2006/relationships/hyperlink" Target="https://www.instagram.com/stories/archive/17878071378407862/" TargetMode="External"/><Relationship Id="rId1" Type="http://schemas.openxmlformats.org/officeDocument/2006/relationships/hyperlink" Target="https://www.instagram.com/stories/autoroutes.sanef/" TargetMode="External"/><Relationship Id="rId6" Type="http://schemas.openxmlformats.org/officeDocument/2006/relationships/hyperlink" Target="https://www.instagram.com/reel/DRxIJhMCO98/" TargetMode="External"/><Relationship Id="rId11" Type="http://schemas.openxmlformats.org/officeDocument/2006/relationships/hyperlink" Target="https://www.facebook.com/sanef1077/posts/pfbid02JVgZwVR2nHyRo22WUgH3bmXncbq46WWLmQZVPYvNNerZV8oxsghSK4ZiGuReXJWhl" TargetMode="External"/><Relationship Id="rId24" Type="http://schemas.openxmlformats.org/officeDocument/2006/relationships/hyperlink" Target="https://www.instagram.com/stories/archive/17878071378407862/" TargetMode="External"/><Relationship Id="rId5" Type="http://schemas.openxmlformats.org/officeDocument/2006/relationships/hyperlink" Target="https://www.tiktok.com/@autoroutes.sanef/video/7579296593292152086" TargetMode="External"/><Relationship Id="rId15" Type="http://schemas.openxmlformats.org/officeDocument/2006/relationships/hyperlink" Target="https://www.tiktok.com/@autoroutes.sanef/video/7567055134753033494" TargetMode="External"/><Relationship Id="rId23" Type="http://schemas.openxmlformats.org/officeDocument/2006/relationships/hyperlink" Target="https://www.instagram.com/stories/archive/17878071378407862/" TargetMode="External"/><Relationship Id="rId28" Type="http://schemas.openxmlformats.org/officeDocument/2006/relationships/hyperlink" Target="https://www.instagram.com/stories/archive/17878071378407862/" TargetMode="External"/><Relationship Id="rId10" Type="http://schemas.openxmlformats.org/officeDocument/2006/relationships/hyperlink" Target="https://www.instagram.com/stories/archive/18025055981768268/" TargetMode="External"/><Relationship Id="rId19" Type="http://schemas.openxmlformats.org/officeDocument/2006/relationships/hyperlink" Target="https://www.instagram.com/stories/archive/18093956956825423/" TargetMode="External"/><Relationship Id="rId4" Type="http://schemas.openxmlformats.org/officeDocument/2006/relationships/hyperlink" Target="https://www.instagram.com/stories/autoroutes.sanef/3783912037013787288/" TargetMode="External"/><Relationship Id="rId9" Type="http://schemas.openxmlformats.org/officeDocument/2006/relationships/hyperlink" Target="https://www.instagram.com/stories/archive/18432902134111261/" TargetMode="External"/><Relationship Id="rId14" Type="http://schemas.openxmlformats.org/officeDocument/2006/relationships/hyperlink" Target="https://www.instagram.com/p/DQcNoszCMWg/" TargetMode="External"/><Relationship Id="rId22" Type="http://schemas.openxmlformats.org/officeDocument/2006/relationships/hyperlink" Target="https://www.instagram.com/stories/archive/17878071378407862/" TargetMode="External"/><Relationship Id="rId27" Type="http://schemas.openxmlformats.org/officeDocument/2006/relationships/hyperlink" Target="https://www.instagram.com/stories/archive/17878071378407862/" TargetMode="External"/><Relationship Id="rId3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AB612"/>
  <sheetViews>
    <sheetView tabSelected="1" workbookViewId="0">
      <pane ySplit="1" topLeftCell="A2" activePane="bottomLeft" state="frozen"/>
      <selection pane="bottomLeft" activeCell="A2" sqref="A2"/>
    </sheetView>
  </sheetViews>
  <sheetFormatPr baseColWidth="10" defaultColWidth="11.1640625" defaultRowHeight="15" customHeight="1"/>
  <cols>
    <col min="1" max="1" width="10.5" customWidth="1"/>
    <col min="2" max="2" width="9.33203125" customWidth="1"/>
    <col min="3" max="3" width="13.5" customWidth="1"/>
    <col min="4" max="4" width="12.6640625" customWidth="1"/>
    <col min="5" max="5" width="14.1640625" customWidth="1"/>
    <col min="6" max="6" width="16.1640625" customWidth="1"/>
    <col min="7" max="7" width="13.6640625" customWidth="1"/>
    <col min="8" max="8" width="47" customWidth="1"/>
    <col min="9" max="9" width="11.1640625" customWidth="1"/>
    <col min="12" max="12" width="14.1640625" customWidth="1"/>
    <col min="14" max="14" width="16.5" customWidth="1"/>
  </cols>
  <sheetData>
    <row r="1" spans="1:28" ht="15.75" customHeight="1">
      <c r="A1" s="4" t="s">
        <v>11</v>
      </c>
      <c r="B1" s="4" t="s">
        <v>12</v>
      </c>
      <c r="C1" s="5" t="s">
        <v>13</v>
      </c>
      <c r="D1" s="6" t="s">
        <v>14</v>
      </c>
      <c r="E1" s="6" t="s">
        <v>0</v>
      </c>
      <c r="F1" s="6" t="s">
        <v>15</v>
      </c>
      <c r="G1" s="7" t="s">
        <v>16</v>
      </c>
      <c r="H1" s="8" t="s">
        <v>17</v>
      </c>
      <c r="I1" s="8" t="s">
        <v>18</v>
      </c>
      <c r="J1" s="9" t="s">
        <v>19</v>
      </c>
      <c r="K1" s="10" t="s">
        <v>20</v>
      </c>
      <c r="L1" s="11" t="s">
        <v>21</v>
      </c>
      <c r="M1" s="12" t="s">
        <v>22</v>
      </c>
      <c r="N1" s="13" t="s">
        <v>23</v>
      </c>
      <c r="O1" s="2"/>
      <c r="P1" s="2"/>
      <c r="Q1" s="2"/>
      <c r="R1" s="2"/>
      <c r="S1" s="2"/>
      <c r="T1" s="2"/>
      <c r="U1" s="2"/>
      <c r="V1" s="2"/>
      <c r="W1" s="2"/>
      <c r="X1" s="2"/>
      <c r="Y1" s="2"/>
      <c r="Z1" s="2"/>
      <c r="AA1" s="2"/>
      <c r="AB1" s="2"/>
    </row>
    <row r="2" spans="1:28" ht="54.75" customHeight="1">
      <c r="A2" s="14">
        <v>46023</v>
      </c>
      <c r="B2" s="15">
        <v>46027</v>
      </c>
      <c r="C2" s="16" t="s">
        <v>24</v>
      </c>
      <c r="D2" s="16" t="s">
        <v>3</v>
      </c>
      <c r="E2" s="16" t="s">
        <v>8</v>
      </c>
      <c r="F2" s="16" t="s">
        <v>25</v>
      </c>
      <c r="G2" s="17" t="s">
        <v>26</v>
      </c>
      <c r="H2" s="18" t="s">
        <v>27</v>
      </c>
      <c r="I2" s="19" t="s">
        <v>28</v>
      </c>
      <c r="J2" s="20">
        <v>11269</v>
      </c>
      <c r="K2" s="21">
        <v>7509</v>
      </c>
      <c r="L2" s="21">
        <v>205</v>
      </c>
      <c r="M2" s="22">
        <f t="shared" ref="M2:M48" si="0">L2/K2*100</f>
        <v>2.7300572646157946</v>
      </c>
      <c r="N2" s="23"/>
      <c r="O2" s="24"/>
      <c r="P2" s="25"/>
      <c r="Q2" s="25"/>
      <c r="R2" s="25"/>
      <c r="S2" s="25"/>
      <c r="T2" s="25"/>
      <c r="U2" s="25"/>
      <c r="V2" s="25"/>
      <c r="W2" s="25"/>
      <c r="X2" s="25"/>
      <c r="Y2" s="25"/>
      <c r="Z2" s="25"/>
      <c r="AA2" s="25"/>
      <c r="AB2" s="25"/>
    </row>
    <row r="3" spans="1:28" ht="55.5" hidden="1" customHeight="1">
      <c r="A3" s="14">
        <v>46023</v>
      </c>
      <c r="B3" s="15">
        <v>46027</v>
      </c>
      <c r="C3" s="16" t="s">
        <v>24</v>
      </c>
      <c r="D3" s="16" t="s">
        <v>1</v>
      </c>
      <c r="E3" s="16" t="s">
        <v>8</v>
      </c>
      <c r="F3" s="16" t="s">
        <v>25</v>
      </c>
      <c r="G3" s="17" t="s">
        <v>26</v>
      </c>
      <c r="H3" s="18" t="s">
        <v>27</v>
      </c>
      <c r="I3" s="26" t="s">
        <v>29</v>
      </c>
      <c r="J3" s="20">
        <v>32214</v>
      </c>
      <c r="K3" s="21">
        <v>27015</v>
      </c>
      <c r="L3" s="21">
        <v>1932</v>
      </c>
      <c r="M3" s="27">
        <f t="shared" si="0"/>
        <v>7.1515824541921154</v>
      </c>
      <c r="N3" s="23"/>
      <c r="O3" s="24"/>
      <c r="P3" s="28"/>
      <c r="Q3" s="28"/>
      <c r="R3" s="28"/>
      <c r="S3" s="28"/>
      <c r="T3" s="28"/>
      <c r="U3" s="28"/>
      <c r="V3" s="28"/>
      <c r="W3" s="28"/>
      <c r="X3" s="28"/>
      <c r="Y3" s="28"/>
      <c r="Z3" s="28"/>
      <c r="AA3" s="28"/>
      <c r="AB3" s="28"/>
    </row>
    <row r="4" spans="1:28" ht="55.5" customHeight="1">
      <c r="A4" s="14">
        <v>46023</v>
      </c>
      <c r="B4" s="15">
        <v>46029</v>
      </c>
      <c r="C4" s="16" t="s">
        <v>24</v>
      </c>
      <c r="D4" s="16" t="s">
        <v>3</v>
      </c>
      <c r="E4" s="16" t="s">
        <v>8</v>
      </c>
      <c r="F4" s="16" t="s">
        <v>25</v>
      </c>
      <c r="G4" s="17" t="s">
        <v>26</v>
      </c>
      <c r="H4" s="18" t="s">
        <v>30</v>
      </c>
      <c r="I4" s="19" t="s">
        <v>31</v>
      </c>
      <c r="J4" s="20">
        <v>2542</v>
      </c>
      <c r="K4" s="21">
        <v>1875</v>
      </c>
      <c r="L4" s="21">
        <v>67</v>
      </c>
      <c r="M4" s="22">
        <f t="shared" si="0"/>
        <v>3.5733333333333333</v>
      </c>
      <c r="N4" s="23"/>
      <c r="O4" s="25"/>
      <c r="P4" s="25"/>
      <c r="Q4" s="25"/>
      <c r="R4" s="25"/>
      <c r="S4" s="25"/>
      <c r="T4" s="25"/>
      <c r="U4" s="25"/>
      <c r="V4" s="25"/>
      <c r="W4" s="25"/>
      <c r="X4" s="25"/>
      <c r="Y4" s="25"/>
      <c r="Z4" s="25"/>
      <c r="AA4" s="25"/>
      <c r="AB4" s="25"/>
    </row>
    <row r="5" spans="1:28" ht="55.5" hidden="1" customHeight="1">
      <c r="A5" s="14">
        <v>46023</v>
      </c>
      <c r="B5" s="15">
        <v>46029</v>
      </c>
      <c r="C5" s="16" t="s">
        <v>24</v>
      </c>
      <c r="D5" s="16" t="s">
        <v>7</v>
      </c>
      <c r="E5" s="16" t="s">
        <v>8</v>
      </c>
      <c r="F5" s="16" t="s">
        <v>25</v>
      </c>
      <c r="G5" s="17" t="s">
        <v>26</v>
      </c>
      <c r="H5" s="18" t="s">
        <v>32</v>
      </c>
      <c r="I5" s="29" t="s">
        <v>33</v>
      </c>
      <c r="J5" s="20">
        <v>13661</v>
      </c>
      <c r="K5" s="21">
        <v>12400</v>
      </c>
      <c r="L5" s="21">
        <v>470</v>
      </c>
      <c r="M5" s="27">
        <f t="shared" si="0"/>
        <v>3.790322580645161</v>
      </c>
      <c r="N5" s="23"/>
      <c r="O5" s="25"/>
      <c r="P5" s="25"/>
      <c r="Q5" s="25"/>
      <c r="R5" s="25"/>
      <c r="S5" s="25"/>
      <c r="T5" s="25"/>
      <c r="U5" s="25"/>
      <c r="V5" s="25"/>
      <c r="W5" s="25"/>
      <c r="X5" s="25"/>
      <c r="Y5" s="25"/>
      <c r="Z5" s="25"/>
      <c r="AA5" s="25"/>
      <c r="AB5" s="25"/>
    </row>
    <row r="6" spans="1:28" ht="55.5" hidden="1" customHeight="1">
      <c r="A6" s="14">
        <v>46023</v>
      </c>
      <c r="B6" s="15">
        <v>46029</v>
      </c>
      <c r="C6" s="16" t="s">
        <v>24</v>
      </c>
      <c r="D6" s="16" t="s">
        <v>1</v>
      </c>
      <c r="E6" s="16" t="s">
        <v>8</v>
      </c>
      <c r="F6" s="16" t="s">
        <v>25</v>
      </c>
      <c r="G6" s="17" t="s">
        <v>26</v>
      </c>
      <c r="H6" s="18" t="s">
        <v>30</v>
      </c>
      <c r="I6" s="26" t="s">
        <v>34</v>
      </c>
      <c r="J6" s="20">
        <v>44376</v>
      </c>
      <c r="K6" s="21">
        <v>36714</v>
      </c>
      <c r="L6" s="21">
        <v>1266</v>
      </c>
      <c r="M6" s="27">
        <f t="shared" si="0"/>
        <v>3.4482758620689653</v>
      </c>
      <c r="N6" s="23"/>
      <c r="O6" s="25"/>
      <c r="P6" s="25"/>
      <c r="Q6" s="25"/>
      <c r="R6" s="25"/>
      <c r="S6" s="25"/>
      <c r="T6" s="25"/>
      <c r="U6" s="25"/>
      <c r="V6" s="25"/>
      <c r="W6" s="25"/>
      <c r="X6" s="25"/>
      <c r="Y6" s="25"/>
      <c r="Z6" s="25"/>
      <c r="AA6" s="25"/>
      <c r="AB6" s="25"/>
    </row>
    <row r="7" spans="1:28" ht="55.5" customHeight="1">
      <c r="A7" s="14">
        <v>46023</v>
      </c>
      <c r="B7" s="15">
        <v>46042</v>
      </c>
      <c r="C7" s="16" t="s">
        <v>24</v>
      </c>
      <c r="D7" s="16" t="s">
        <v>3</v>
      </c>
      <c r="E7" s="16" t="s">
        <v>10</v>
      </c>
      <c r="F7" s="16" t="s">
        <v>35</v>
      </c>
      <c r="G7" s="17" t="s">
        <v>6</v>
      </c>
      <c r="H7" s="18" t="s">
        <v>36</v>
      </c>
      <c r="I7" s="19" t="s">
        <v>37</v>
      </c>
      <c r="J7" s="20">
        <v>907</v>
      </c>
      <c r="K7" s="21">
        <v>719</v>
      </c>
      <c r="L7" s="21">
        <v>130</v>
      </c>
      <c r="M7" s="27">
        <f t="shared" si="0"/>
        <v>18.080667593880388</v>
      </c>
      <c r="N7" s="23"/>
      <c r="O7" s="25"/>
      <c r="P7" s="25"/>
      <c r="Q7" s="25"/>
      <c r="R7" s="25"/>
      <c r="S7" s="25"/>
      <c r="T7" s="25"/>
      <c r="U7" s="25"/>
      <c r="V7" s="25"/>
      <c r="W7" s="25"/>
      <c r="X7" s="25"/>
      <c r="Y7" s="25"/>
      <c r="Z7" s="25"/>
      <c r="AA7" s="25"/>
      <c r="AB7" s="25"/>
    </row>
    <row r="8" spans="1:28" ht="55.5" customHeight="1">
      <c r="A8" s="14">
        <v>46023</v>
      </c>
      <c r="B8" s="15">
        <v>46042</v>
      </c>
      <c r="C8" s="16" t="s">
        <v>24</v>
      </c>
      <c r="D8" s="16" t="s">
        <v>3</v>
      </c>
      <c r="E8" s="16" t="s">
        <v>10</v>
      </c>
      <c r="F8" s="16" t="s">
        <v>35</v>
      </c>
      <c r="G8" s="17" t="s">
        <v>6</v>
      </c>
      <c r="H8" s="18" t="s">
        <v>38</v>
      </c>
      <c r="I8" s="19" t="s">
        <v>39</v>
      </c>
      <c r="J8" s="20">
        <v>794</v>
      </c>
      <c r="K8" s="21">
        <v>615</v>
      </c>
      <c r="L8" s="21">
        <v>10</v>
      </c>
      <c r="M8" s="27">
        <f t="shared" si="0"/>
        <v>1.6260162601626018</v>
      </c>
      <c r="N8" s="23"/>
      <c r="O8" s="25"/>
      <c r="P8" s="25"/>
      <c r="Q8" s="25"/>
      <c r="R8" s="25"/>
      <c r="S8" s="25"/>
      <c r="T8" s="25"/>
      <c r="U8" s="25"/>
      <c r="V8" s="25"/>
      <c r="W8" s="25"/>
      <c r="X8" s="25"/>
      <c r="Y8" s="25"/>
      <c r="Z8" s="25"/>
      <c r="AA8" s="25"/>
      <c r="AB8" s="25"/>
    </row>
    <row r="9" spans="1:28" ht="55.5" hidden="1" customHeight="1">
      <c r="A9" s="14">
        <v>46023</v>
      </c>
      <c r="B9" s="15">
        <v>46048</v>
      </c>
      <c r="C9" s="16" t="s">
        <v>24</v>
      </c>
      <c r="D9" s="16" t="s">
        <v>1</v>
      </c>
      <c r="E9" s="16" t="s">
        <v>2</v>
      </c>
      <c r="F9" s="16" t="s">
        <v>35</v>
      </c>
      <c r="G9" s="17" t="s">
        <v>40</v>
      </c>
      <c r="H9" s="18" t="s">
        <v>41</v>
      </c>
      <c r="I9" s="19" t="s">
        <v>42</v>
      </c>
      <c r="J9" s="30">
        <v>30213</v>
      </c>
      <c r="K9" s="31">
        <v>22073</v>
      </c>
      <c r="L9" s="31">
        <v>33</v>
      </c>
      <c r="M9" s="27">
        <f t="shared" si="0"/>
        <v>0.14950391881484165</v>
      </c>
      <c r="N9" s="23"/>
      <c r="O9" s="25"/>
      <c r="P9" s="25"/>
      <c r="Q9" s="25"/>
      <c r="R9" s="25"/>
      <c r="S9" s="25"/>
      <c r="T9" s="25"/>
      <c r="U9" s="25"/>
      <c r="V9" s="25"/>
      <c r="W9" s="25"/>
      <c r="X9" s="25"/>
      <c r="Y9" s="25"/>
      <c r="Z9" s="25"/>
      <c r="AA9" s="25"/>
      <c r="AB9" s="25"/>
    </row>
    <row r="10" spans="1:28" ht="55.5" hidden="1" customHeight="1">
      <c r="A10" s="14">
        <v>46054</v>
      </c>
      <c r="B10" s="15">
        <v>46056</v>
      </c>
      <c r="C10" s="16" t="s">
        <v>24</v>
      </c>
      <c r="D10" s="16" t="s">
        <v>7</v>
      </c>
      <c r="E10" s="16" t="s">
        <v>8</v>
      </c>
      <c r="F10" s="16" t="s">
        <v>43</v>
      </c>
      <c r="G10" s="17" t="s">
        <v>44</v>
      </c>
      <c r="H10" s="18" t="s">
        <v>45</v>
      </c>
      <c r="I10" s="29" t="s">
        <v>46</v>
      </c>
      <c r="J10" s="20">
        <v>340</v>
      </c>
      <c r="K10" s="21">
        <v>304</v>
      </c>
      <c r="L10" s="21">
        <v>29</v>
      </c>
      <c r="M10" s="27">
        <f t="shared" si="0"/>
        <v>9.5394736842105274</v>
      </c>
      <c r="N10" s="23"/>
      <c r="O10" s="25"/>
      <c r="P10" s="25"/>
      <c r="Q10" s="25"/>
      <c r="R10" s="25"/>
      <c r="S10" s="25"/>
      <c r="T10" s="25"/>
      <c r="U10" s="25"/>
      <c r="V10" s="25"/>
      <c r="W10" s="25"/>
      <c r="X10" s="25"/>
      <c r="Y10" s="25"/>
      <c r="Z10" s="25"/>
      <c r="AA10" s="25"/>
      <c r="AB10" s="25"/>
    </row>
    <row r="11" spans="1:28" ht="55.5" hidden="1" customHeight="1">
      <c r="A11" s="14">
        <v>46054</v>
      </c>
      <c r="B11" s="15">
        <v>46056</v>
      </c>
      <c r="C11" s="16" t="s">
        <v>24</v>
      </c>
      <c r="D11" s="16" t="s">
        <v>1</v>
      </c>
      <c r="E11" s="16" t="s">
        <v>8</v>
      </c>
      <c r="F11" s="16" t="s">
        <v>43</v>
      </c>
      <c r="G11" s="17" t="s">
        <v>44</v>
      </c>
      <c r="H11" s="18" t="s">
        <v>47</v>
      </c>
      <c r="I11" s="19" t="s">
        <v>48</v>
      </c>
      <c r="J11" s="20">
        <v>8477</v>
      </c>
      <c r="K11" s="21">
        <v>7310</v>
      </c>
      <c r="L11" s="21">
        <v>181</v>
      </c>
      <c r="M11" s="27">
        <f t="shared" si="0"/>
        <v>2.4760601915184677</v>
      </c>
      <c r="N11" s="23"/>
      <c r="O11" s="25"/>
      <c r="P11" s="25"/>
      <c r="Q11" s="25"/>
      <c r="R11" s="25"/>
      <c r="S11" s="25"/>
      <c r="T11" s="25"/>
      <c r="U11" s="25"/>
      <c r="V11" s="25"/>
      <c r="W11" s="25"/>
      <c r="X11" s="25"/>
      <c r="Y11" s="25"/>
      <c r="Z11" s="25"/>
      <c r="AA11" s="25"/>
      <c r="AB11" s="25"/>
    </row>
    <row r="12" spans="1:28" ht="55.5" customHeight="1">
      <c r="A12" s="14">
        <v>46054</v>
      </c>
      <c r="B12" s="15">
        <v>46056</v>
      </c>
      <c r="C12" s="16" t="s">
        <v>24</v>
      </c>
      <c r="D12" s="16" t="s">
        <v>3</v>
      </c>
      <c r="E12" s="16" t="s">
        <v>8</v>
      </c>
      <c r="F12" s="16" t="s">
        <v>43</v>
      </c>
      <c r="G12" s="17" t="s">
        <v>44</v>
      </c>
      <c r="H12" s="18" t="s">
        <v>49</v>
      </c>
      <c r="I12" s="19" t="s">
        <v>50</v>
      </c>
      <c r="J12" s="20">
        <v>2295</v>
      </c>
      <c r="K12" s="21">
        <v>1586</v>
      </c>
      <c r="L12" s="21">
        <v>40</v>
      </c>
      <c r="M12" s="27">
        <f t="shared" si="0"/>
        <v>2.5220680958385877</v>
      </c>
      <c r="N12" s="23"/>
      <c r="O12" s="25"/>
      <c r="P12" s="25"/>
      <c r="Q12" s="25"/>
      <c r="R12" s="25"/>
      <c r="S12" s="25"/>
      <c r="T12" s="25"/>
      <c r="U12" s="25"/>
      <c r="V12" s="25"/>
      <c r="W12" s="25"/>
      <c r="X12" s="25"/>
      <c r="Y12" s="25"/>
      <c r="Z12" s="25"/>
      <c r="AA12" s="25"/>
      <c r="AB12" s="25"/>
    </row>
    <row r="13" spans="1:28" ht="55.5" customHeight="1">
      <c r="A13" s="14">
        <v>46054</v>
      </c>
      <c r="B13" s="15">
        <v>46057</v>
      </c>
      <c r="C13" s="24" t="s">
        <v>24</v>
      </c>
      <c r="D13" s="24" t="s">
        <v>3</v>
      </c>
      <c r="E13" s="16" t="s">
        <v>6</v>
      </c>
      <c r="F13" s="16" t="s">
        <v>25</v>
      </c>
      <c r="G13" s="17" t="s">
        <v>51</v>
      </c>
      <c r="H13" s="18" t="s">
        <v>52</v>
      </c>
      <c r="I13" s="32" t="s">
        <v>53</v>
      </c>
      <c r="J13" s="20">
        <v>906</v>
      </c>
      <c r="K13" s="21">
        <v>788</v>
      </c>
      <c r="L13" s="21">
        <v>239</v>
      </c>
      <c r="M13" s="27">
        <f t="shared" si="0"/>
        <v>30.329949238578678</v>
      </c>
      <c r="N13" s="23"/>
      <c r="O13" s="25"/>
      <c r="P13" s="25"/>
      <c r="Q13" s="25"/>
      <c r="R13" s="25"/>
      <c r="S13" s="25"/>
      <c r="T13" s="25"/>
      <c r="U13" s="25"/>
      <c r="V13" s="25"/>
      <c r="W13" s="25"/>
      <c r="X13" s="25"/>
      <c r="Y13" s="25"/>
      <c r="Z13" s="25"/>
      <c r="AA13" s="25"/>
      <c r="AB13" s="25"/>
    </row>
    <row r="14" spans="1:28" ht="55.5" customHeight="1">
      <c r="A14" s="14">
        <v>46054</v>
      </c>
      <c r="B14" s="15">
        <v>46057</v>
      </c>
      <c r="C14" s="24" t="s">
        <v>24</v>
      </c>
      <c r="D14" s="24" t="s">
        <v>3</v>
      </c>
      <c r="E14" s="16" t="s">
        <v>6</v>
      </c>
      <c r="F14" s="16" t="s">
        <v>25</v>
      </c>
      <c r="G14" s="17" t="s">
        <v>51</v>
      </c>
      <c r="H14" s="18" t="s">
        <v>54</v>
      </c>
      <c r="I14" s="32" t="s">
        <v>53</v>
      </c>
      <c r="J14" s="20">
        <v>760</v>
      </c>
      <c r="K14" s="21">
        <v>641</v>
      </c>
      <c r="L14" s="21">
        <v>6</v>
      </c>
      <c r="M14" s="27">
        <f t="shared" si="0"/>
        <v>0.93603744149765999</v>
      </c>
      <c r="N14" s="23"/>
      <c r="O14" s="25"/>
      <c r="P14" s="25"/>
      <c r="Q14" s="25"/>
      <c r="R14" s="25"/>
      <c r="S14" s="25"/>
      <c r="T14" s="25"/>
      <c r="U14" s="25"/>
      <c r="V14" s="25"/>
      <c r="W14" s="25"/>
      <c r="X14" s="25"/>
      <c r="Y14" s="25"/>
      <c r="Z14" s="25"/>
      <c r="AA14" s="25"/>
      <c r="AB14" s="25"/>
    </row>
    <row r="15" spans="1:28" ht="55.5" hidden="1" customHeight="1">
      <c r="A15" s="14">
        <v>46054</v>
      </c>
      <c r="B15" s="15">
        <v>46063</v>
      </c>
      <c r="C15" s="16" t="s">
        <v>24</v>
      </c>
      <c r="D15" s="16" t="s">
        <v>5</v>
      </c>
      <c r="E15" s="16" t="s">
        <v>4</v>
      </c>
      <c r="F15" s="16" t="s">
        <v>51</v>
      </c>
      <c r="G15" s="33" t="s">
        <v>55</v>
      </c>
      <c r="H15" s="18" t="s">
        <v>56</v>
      </c>
      <c r="I15" s="29" t="s">
        <v>57</v>
      </c>
      <c r="J15" s="20">
        <v>2839</v>
      </c>
      <c r="K15" s="21">
        <v>1943</v>
      </c>
      <c r="L15" s="21">
        <v>221</v>
      </c>
      <c r="M15" s="27">
        <f t="shared" si="0"/>
        <v>11.374163664436439</v>
      </c>
      <c r="N15" s="23"/>
      <c r="O15" s="28"/>
      <c r="P15" s="28"/>
      <c r="Q15" s="28"/>
      <c r="R15" s="28"/>
      <c r="S15" s="28"/>
      <c r="T15" s="28"/>
      <c r="U15" s="28"/>
      <c r="V15" s="28"/>
      <c r="W15" s="28"/>
      <c r="X15" s="28"/>
      <c r="Y15" s="28"/>
      <c r="Z15" s="28"/>
      <c r="AA15" s="28"/>
      <c r="AB15" s="28"/>
    </row>
    <row r="16" spans="1:28" ht="55.5" customHeight="1">
      <c r="A16" s="14">
        <v>46054</v>
      </c>
      <c r="B16" s="15">
        <v>46068</v>
      </c>
      <c r="C16" s="16" t="s">
        <v>24</v>
      </c>
      <c r="D16" s="16" t="s">
        <v>3</v>
      </c>
      <c r="E16" s="16" t="s">
        <v>10</v>
      </c>
      <c r="F16" s="16" t="s">
        <v>25</v>
      </c>
      <c r="G16" s="33" t="s">
        <v>58</v>
      </c>
      <c r="H16" s="18" t="s">
        <v>59</v>
      </c>
      <c r="I16" s="29" t="s">
        <v>60</v>
      </c>
      <c r="J16" s="20">
        <v>1241</v>
      </c>
      <c r="K16" s="21">
        <v>1053</v>
      </c>
      <c r="L16" s="21">
        <v>256</v>
      </c>
      <c r="M16" s="27">
        <f t="shared" si="0"/>
        <v>24.311490978157646</v>
      </c>
      <c r="N16" s="23"/>
      <c r="O16" s="28"/>
      <c r="P16" s="28"/>
      <c r="Q16" s="28"/>
      <c r="R16" s="28"/>
      <c r="S16" s="28"/>
      <c r="T16" s="28"/>
      <c r="U16" s="28"/>
      <c r="V16" s="28"/>
      <c r="W16" s="28"/>
      <c r="X16" s="28"/>
      <c r="Y16" s="28"/>
      <c r="Z16" s="28"/>
      <c r="AA16" s="28"/>
      <c r="AB16" s="28"/>
    </row>
    <row r="17" spans="1:28" ht="55.5" customHeight="1">
      <c r="A17" s="14">
        <v>46054</v>
      </c>
      <c r="B17" s="15">
        <v>46068</v>
      </c>
      <c r="C17" s="16" t="s">
        <v>24</v>
      </c>
      <c r="D17" s="16" t="s">
        <v>3</v>
      </c>
      <c r="E17" s="16" t="s">
        <v>10</v>
      </c>
      <c r="F17" s="16" t="s">
        <v>25</v>
      </c>
      <c r="G17" s="33" t="s">
        <v>58</v>
      </c>
      <c r="H17" s="18" t="s">
        <v>61</v>
      </c>
      <c r="I17" s="29" t="s">
        <v>62</v>
      </c>
      <c r="J17" s="20">
        <v>1045</v>
      </c>
      <c r="K17" s="21">
        <v>852</v>
      </c>
      <c r="L17" s="21">
        <v>22</v>
      </c>
      <c r="M17" s="27">
        <f t="shared" si="0"/>
        <v>2.5821596244131455</v>
      </c>
      <c r="N17" s="23"/>
      <c r="O17" s="28"/>
      <c r="P17" s="28"/>
      <c r="Q17" s="28"/>
      <c r="R17" s="28"/>
      <c r="S17" s="28"/>
      <c r="T17" s="28"/>
      <c r="U17" s="28"/>
      <c r="V17" s="28"/>
      <c r="W17" s="28"/>
      <c r="X17" s="28"/>
      <c r="Y17" s="28"/>
      <c r="Z17" s="28"/>
      <c r="AA17" s="28"/>
      <c r="AB17" s="28"/>
    </row>
    <row r="18" spans="1:28" ht="55.5" customHeight="1">
      <c r="A18" s="14">
        <v>46054</v>
      </c>
      <c r="B18" s="15">
        <v>46069</v>
      </c>
      <c r="C18" s="16" t="s">
        <v>24</v>
      </c>
      <c r="D18" s="16" t="s">
        <v>3</v>
      </c>
      <c r="E18" s="16" t="s">
        <v>4</v>
      </c>
      <c r="F18" s="16" t="s">
        <v>51</v>
      </c>
      <c r="G18" s="33" t="s">
        <v>63</v>
      </c>
      <c r="H18" s="18" t="s">
        <v>64</v>
      </c>
      <c r="I18" s="34" t="s">
        <v>65</v>
      </c>
      <c r="J18" s="20">
        <v>6140</v>
      </c>
      <c r="K18" s="21">
        <v>2884</v>
      </c>
      <c r="L18" s="21">
        <v>111</v>
      </c>
      <c r="M18" s="27">
        <f t="shared" si="0"/>
        <v>3.8488210818307902</v>
      </c>
      <c r="N18" s="23"/>
      <c r="O18" s="25"/>
      <c r="P18" s="25"/>
      <c r="Q18" s="25"/>
      <c r="R18" s="25"/>
      <c r="S18" s="25"/>
      <c r="T18" s="25"/>
      <c r="U18" s="25"/>
      <c r="V18" s="25"/>
      <c r="W18" s="25"/>
      <c r="X18" s="25"/>
      <c r="Y18" s="25"/>
      <c r="Z18" s="25"/>
      <c r="AA18" s="25"/>
      <c r="AB18" s="25"/>
    </row>
    <row r="19" spans="1:28" ht="55.5" hidden="1" customHeight="1">
      <c r="A19" s="14">
        <v>46054</v>
      </c>
      <c r="B19" s="15">
        <v>46069</v>
      </c>
      <c r="C19" s="16" t="s">
        <v>24</v>
      </c>
      <c r="D19" s="16" t="s">
        <v>1</v>
      </c>
      <c r="E19" s="16" t="s">
        <v>4</v>
      </c>
      <c r="F19" s="16" t="s">
        <v>51</v>
      </c>
      <c r="G19" s="33" t="s">
        <v>63</v>
      </c>
      <c r="H19" s="18" t="s">
        <v>66</v>
      </c>
      <c r="I19" s="34" t="s">
        <v>67</v>
      </c>
      <c r="J19" s="20">
        <v>182559</v>
      </c>
      <c r="K19" s="21">
        <v>128152</v>
      </c>
      <c r="L19" s="21">
        <v>10647</v>
      </c>
      <c r="M19" s="27">
        <f t="shared" si="0"/>
        <v>8.3081028778325745</v>
      </c>
      <c r="N19" s="23"/>
      <c r="O19" s="28"/>
      <c r="P19" s="25"/>
      <c r="Q19" s="25"/>
      <c r="R19" s="25"/>
      <c r="S19" s="25"/>
      <c r="T19" s="25"/>
      <c r="U19" s="25"/>
      <c r="V19" s="25"/>
      <c r="W19" s="25"/>
      <c r="X19" s="25"/>
      <c r="Y19" s="25"/>
      <c r="Z19" s="25"/>
      <c r="AA19" s="25"/>
      <c r="AB19" s="25"/>
    </row>
    <row r="20" spans="1:28" ht="55.5" hidden="1" customHeight="1">
      <c r="A20" s="14">
        <v>46054</v>
      </c>
      <c r="B20" s="15">
        <v>46072</v>
      </c>
      <c r="C20" s="16" t="s">
        <v>24</v>
      </c>
      <c r="D20" s="16" t="s">
        <v>1</v>
      </c>
      <c r="E20" s="16" t="s">
        <v>4</v>
      </c>
      <c r="F20" s="16" t="s">
        <v>35</v>
      </c>
      <c r="G20" s="17" t="s">
        <v>68</v>
      </c>
      <c r="H20" s="18" t="s">
        <v>69</v>
      </c>
      <c r="I20" s="29" t="s">
        <v>70</v>
      </c>
      <c r="J20" s="20">
        <v>38195</v>
      </c>
      <c r="K20" s="21">
        <v>25025</v>
      </c>
      <c r="L20" s="21">
        <v>3940</v>
      </c>
      <c r="M20" s="27">
        <f t="shared" si="0"/>
        <v>15.744255744255744</v>
      </c>
      <c r="N20" s="23"/>
      <c r="O20" s="28"/>
      <c r="P20" s="28"/>
      <c r="Q20" s="28"/>
      <c r="R20" s="28"/>
      <c r="S20" s="28"/>
      <c r="T20" s="28"/>
      <c r="U20" s="28"/>
      <c r="V20" s="28"/>
      <c r="W20" s="28"/>
      <c r="X20" s="28"/>
      <c r="Y20" s="28"/>
      <c r="Z20" s="28"/>
      <c r="AA20" s="28"/>
      <c r="AB20" s="28"/>
    </row>
    <row r="21" spans="1:28" ht="55.5" customHeight="1">
      <c r="A21" s="14">
        <v>46054</v>
      </c>
      <c r="B21" s="15">
        <v>46072</v>
      </c>
      <c r="C21" s="16" t="s">
        <v>24</v>
      </c>
      <c r="D21" s="16" t="s">
        <v>3</v>
      </c>
      <c r="E21" s="16" t="s">
        <v>4</v>
      </c>
      <c r="F21" s="16" t="s">
        <v>35</v>
      </c>
      <c r="G21" s="17" t="s">
        <v>68</v>
      </c>
      <c r="H21" s="18" t="s">
        <v>69</v>
      </c>
      <c r="I21" s="29" t="s">
        <v>71</v>
      </c>
      <c r="J21" s="20">
        <v>5810</v>
      </c>
      <c r="K21" s="21">
        <v>2605</v>
      </c>
      <c r="L21" s="21">
        <v>60</v>
      </c>
      <c r="M21" s="27">
        <f t="shared" si="0"/>
        <v>2.3032629558541267</v>
      </c>
      <c r="N21" s="23"/>
      <c r="O21" s="28"/>
      <c r="P21" s="28"/>
      <c r="Q21" s="28"/>
      <c r="R21" s="28"/>
      <c r="S21" s="28"/>
      <c r="T21" s="28"/>
      <c r="U21" s="28"/>
      <c r="V21" s="28"/>
      <c r="W21" s="28"/>
      <c r="X21" s="28"/>
      <c r="Y21" s="28"/>
      <c r="Z21" s="28"/>
      <c r="AA21" s="28"/>
      <c r="AB21" s="28"/>
    </row>
    <row r="22" spans="1:28" ht="55.5" customHeight="1">
      <c r="A22" s="14">
        <v>46054</v>
      </c>
      <c r="B22" s="15">
        <v>46077</v>
      </c>
      <c r="C22" s="16" t="s">
        <v>24</v>
      </c>
      <c r="D22" s="16" t="s">
        <v>3</v>
      </c>
      <c r="E22" s="16" t="s">
        <v>8</v>
      </c>
      <c r="F22" s="16" t="s">
        <v>35</v>
      </c>
      <c r="G22" s="33" t="s">
        <v>72</v>
      </c>
      <c r="H22" s="18" t="s">
        <v>73</v>
      </c>
      <c r="I22" s="29" t="s">
        <v>74</v>
      </c>
      <c r="J22" s="20">
        <v>1892</v>
      </c>
      <c r="K22" s="21">
        <v>1273</v>
      </c>
      <c r="L22" s="21">
        <v>75</v>
      </c>
      <c r="M22" s="27">
        <f t="shared" si="0"/>
        <v>5.8915946582875103</v>
      </c>
      <c r="N22" s="23"/>
      <c r="O22" s="28"/>
      <c r="P22" s="28"/>
      <c r="Q22" s="28"/>
      <c r="R22" s="28"/>
      <c r="S22" s="28"/>
      <c r="T22" s="28"/>
      <c r="U22" s="28"/>
      <c r="V22" s="28"/>
      <c r="W22" s="28"/>
      <c r="X22" s="28"/>
      <c r="Y22" s="28"/>
      <c r="Z22" s="28"/>
      <c r="AA22" s="28"/>
      <c r="AB22" s="28"/>
    </row>
    <row r="23" spans="1:28" ht="55.5" hidden="1" customHeight="1">
      <c r="A23" s="14">
        <v>46054</v>
      </c>
      <c r="B23" s="15">
        <v>46077</v>
      </c>
      <c r="C23" s="16" t="s">
        <v>24</v>
      </c>
      <c r="D23" s="16" t="s">
        <v>7</v>
      </c>
      <c r="E23" s="16" t="s">
        <v>8</v>
      </c>
      <c r="F23" s="16" t="s">
        <v>35</v>
      </c>
      <c r="G23" s="33" t="s">
        <v>72</v>
      </c>
      <c r="H23" s="18" t="s">
        <v>73</v>
      </c>
      <c r="I23" s="29" t="s">
        <v>75</v>
      </c>
      <c r="J23" s="20">
        <v>6581</v>
      </c>
      <c r="K23" s="21">
        <v>1800</v>
      </c>
      <c r="L23" s="21">
        <v>349</v>
      </c>
      <c r="M23" s="27">
        <f t="shared" si="0"/>
        <v>19.388888888888889</v>
      </c>
      <c r="N23" s="23"/>
      <c r="O23" s="28"/>
      <c r="P23" s="28"/>
      <c r="Q23" s="28"/>
      <c r="R23" s="28"/>
      <c r="S23" s="28"/>
      <c r="T23" s="28"/>
      <c r="U23" s="28"/>
      <c r="V23" s="28"/>
      <c r="W23" s="28"/>
      <c r="X23" s="28"/>
      <c r="Y23" s="28"/>
      <c r="Z23" s="28"/>
      <c r="AA23" s="28"/>
      <c r="AB23" s="28"/>
    </row>
    <row r="24" spans="1:28" ht="55.5" hidden="1" customHeight="1">
      <c r="A24" s="14">
        <v>46054</v>
      </c>
      <c r="B24" s="15">
        <v>46077</v>
      </c>
      <c r="C24" s="16" t="s">
        <v>24</v>
      </c>
      <c r="D24" s="16" t="s">
        <v>1</v>
      </c>
      <c r="E24" s="16" t="s">
        <v>8</v>
      </c>
      <c r="F24" s="16" t="s">
        <v>35</v>
      </c>
      <c r="G24" s="33" t="s">
        <v>72</v>
      </c>
      <c r="H24" s="18" t="s">
        <v>76</v>
      </c>
      <c r="I24" s="29" t="s">
        <v>77</v>
      </c>
      <c r="J24" s="20">
        <v>83759</v>
      </c>
      <c r="K24" s="21">
        <v>64532</v>
      </c>
      <c r="L24" s="21">
        <v>854</v>
      </c>
      <c r="M24" s="27">
        <f t="shared" si="0"/>
        <v>1.3233744498853282</v>
      </c>
      <c r="N24" s="23"/>
      <c r="O24" s="28"/>
      <c r="P24" s="28"/>
      <c r="Q24" s="28"/>
      <c r="R24" s="28"/>
      <c r="S24" s="28"/>
      <c r="T24" s="28"/>
      <c r="U24" s="28"/>
      <c r="V24" s="28"/>
      <c r="W24" s="28"/>
      <c r="X24" s="28"/>
      <c r="Y24" s="28"/>
      <c r="Z24" s="28"/>
      <c r="AA24" s="28"/>
      <c r="AB24" s="28"/>
    </row>
    <row r="25" spans="1:28" ht="55.5" hidden="1" customHeight="1">
      <c r="A25" s="14">
        <v>46054</v>
      </c>
      <c r="B25" s="15">
        <v>46077</v>
      </c>
      <c r="C25" s="16" t="s">
        <v>24</v>
      </c>
      <c r="D25" s="16" t="s">
        <v>9</v>
      </c>
      <c r="E25" s="16" t="s">
        <v>8</v>
      </c>
      <c r="F25" s="16" t="s">
        <v>35</v>
      </c>
      <c r="G25" s="33" t="s">
        <v>72</v>
      </c>
      <c r="H25" s="18" t="s">
        <v>76</v>
      </c>
      <c r="I25" s="29" t="s">
        <v>78</v>
      </c>
      <c r="J25" s="20">
        <v>782</v>
      </c>
      <c r="K25" s="21">
        <v>782</v>
      </c>
      <c r="L25" s="21">
        <v>13</v>
      </c>
      <c r="M25" s="27">
        <f t="shared" si="0"/>
        <v>1.6624040920716114</v>
      </c>
      <c r="N25" s="23"/>
      <c r="O25" s="28"/>
      <c r="P25" s="28"/>
      <c r="Q25" s="28"/>
      <c r="R25" s="28"/>
      <c r="S25" s="28"/>
      <c r="T25" s="28"/>
      <c r="U25" s="28"/>
      <c r="V25" s="28"/>
      <c r="W25" s="28"/>
      <c r="X25" s="28"/>
      <c r="Y25" s="28"/>
      <c r="Z25" s="28"/>
      <c r="AA25" s="28"/>
      <c r="AB25" s="28"/>
    </row>
    <row r="26" spans="1:28" ht="55.5" hidden="1" customHeight="1">
      <c r="A26" s="14">
        <v>46054</v>
      </c>
      <c r="B26" s="15">
        <v>46077</v>
      </c>
      <c r="C26" s="16" t="s">
        <v>24</v>
      </c>
      <c r="D26" s="16" t="s">
        <v>5</v>
      </c>
      <c r="E26" s="16" t="s">
        <v>4</v>
      </c>
      <c r="F26" s="16" t="s">
        <v>79</v>
      </c>
      <c r="G26" s="33" t="s">
        <v>80</v>
      </c>
      <c r="H26" s="18" t="s">
        <v>81</v>
      </c>
      <c r="I26" s="29" t="s">
        <v>82</v>
      </c>
      <c r="J26" s="20">
        <v>8848</v>
      </c>
      <c r="K26" s="21">
        <v>6738</v>
      </c>
      <c r="L26" s="21">
        <v>508</v>
      </c>
      <c r="M26" s="27">
        <f t="shared" si="0"/>
        <v>7.5393291777975655</v>
      </c>
      <c r="N26" s="23"/>
      <c r="O26" s="28"/>
      <c r="P26" s="28"/>
      <c r="Q26" s="28"/>
      <c r="R26" s="28"/>
      <c r="S26" s="28"/>
      <c r="T26" s="28"/>
      <c r="U26" s="28"/>
      <c r="V26" s="28"/>
      <c r="W26" s="28"/>
      <c r="X26" s="28"/>
      <c r="Y26" s="28"/>
      <c r="Z26" s="28"/>
      <c r="AA26" s="28"/>
      <c r="AB26" s="28"/>
    </row>
    <row r="27" spans="1:28" ht="55.5" hidden="1" customHeight="1">
      <c r="A27" s="14">
        <v>46082</v>
      </c>
      <c r="B27" s="15">
        <v>46104</v>
      </c>
      <c r="C27" s="16" t="s">
        <v>24</v>
      </c>
      <c r="D27" s="16" t="s">
        <v>1</v>
      </c>
      <c r="E27" s="16" t="s">
        <v>4</v>
      </c>
      <c r="F27" s="16" t="s">
        <v>79</v>
      </c>
      <c r="G27" s="33" t="s">
        <v>83</v>
      </c>
      <c r="H27" s="18" t="s">
        <v>84</v>
      </c>
      <c r="I27" s="35" t="s">
        <v>85</v>
      </c>
      <c r="J27" s="20">
        <v>199073</v>
      </c>
      <c r="K27" s="21">
        <v>150077</v>
      </c>
      <c r="L27" s="21">
        <v>416</v>
      </c>
      <c r="M27" s="27">
        <f t="shared" si="0"/>
        <v>0.27719104193180838</v>
      </c>
      <c r="N27" s="23"/>
      <c r="O27" s="28"/>
      <c r="P27" s="28"/>
      <c r="Q27" s="28"/>
      <c r="R27" s="28"/>
      <c r="S27" s="28"/>
      <c r="T27" s="28"/>
      <c r="U27" s="28"/>
      <c r="V27" s="28"/>
      <c r="W27" s="28"/>
      <c r="X27" s="28"/>
      <c r="Y27" s="28"/>
      <c r="Z27" s="28"/>
      <c r="AA27" s="28"/>
      <c r="AB27" s="28"/>
    </row>
    <row r="28" spans="1:28" ht="55.5" hidden="1" customHeight="1">
      <c r="A28" s="14">
        <v>46082</v>
      </c>
      <c r="B28" s="15">
        <v>46105</v>
      </c>
      <c r="C28" s="16" t="s">
        <v>24</v>
      </c>
      <c r="D28" s="24" t="s">
        <v>1</v>
      </c>
      <c r="E28" s="16" t="s">
        <v>8</v>
      </c>
      <c r="F28" s="16" t="s">
        <v>35</v>
      </c>
      <c r="G28" s="16" t="s">
        <v>86</v>
      </c>
      <c r="H28" s="18" t="s">
        <v>87</v>
      </c>
      <c r="I28" s="35" t="s">
        <v>88</v>
      </c>
      <c r="J28" s="20">
        <v>109567</v>
      </c>
      <c r="K28" s="21">
        <v>76123</v>
      </c>
      <c r="L28" s="21">
        <v>1015</v>
      </c>
      <c r="M28" s="27">
        <f t="shared" si="0"/>
        <v>1.3333683643576844</v>
      </c>
      <c r="N28" s="23"/>
      <c r="O28" s="28"/>
      <c r="P28" s="28"/>
      <c r="Q28" s="28"/>
      <c r="R28" s="28"/>
      <c r="S28" s="28"/>
      <c r="T28" s="28"/>
      <c r="U28" s="28"/>
      <c r="V28" s="28"/>
      <c r="W28" s="28"/>
      <c r="X28" s="28"/>
      <c r="Y28" s="28"/>
      <c r="Z28" s="28"/>
      <c r="AA28" s="28"/>
      <c r="AB28" s="28"/>
    </row>
    <row r="29" spans="1:28" ht="55.5" hidden="1" customHeight="1">
      <c r="A29" s="14">
        <v>46082</v>
      </c>
      <c r="B29" s="15">
        <v>46105</v>
      </c>
      <c r="C29" s="16" t="s">
        <v>24</v>
      </c>
      <c r="D29" s="16" t="s">
        <v>5</v>
      </c>
      <c r="E29" s="16" t="s">
        <v>8</v>
      </c>
      <c r="F29" s="16" t="s">
        <v>89</v>
      </c>
      <c r="G29" s="33" t="s">
        <v>90</v>
      </c>
      <c r="H29" s="18" t="s">
        <v>91</v>
      </c>
      <c r="I29" s="35" t="s">
        <v>92</v>
      </c>
      <c r="J29" s="20">
        <v>26420</v>
      </c>
      <c r="K29" s="21">
        <v>20668</v>
      </c>
      <c r="L29" s="21">
        <v>860</v>
      </c>
      <c r="M29" s="27">
        <f t="shared" si="0"/>
        <v>4.1610218695568033</v>
      </c>
      <c r="N29" s="23"/>
      <c r="O29" s="28"/>
      <c r="P29" s="28"/>
      <c r="Q29" s="28"/>
      <c r="R29" s="28"/>
      <c r="S29" s="28"/>
      <c r="T29" s="28"/>
      <c r="U29" s="28"/>
      <c r="V29" s="28"/>
      <c r="W29" s="28"/>
      <c r="X29" s="28"/>
      <c r="Y29" s="28"/>
      <c r="Z29" s="28"/>
      <c r="AA29" s="28"/>
      <c r="AB29" s="28"/>
    </row>
    <row r="30" spans="1:28" ht="55.5" hidden="1" customHeight="1">
      <c r="A30" s="14">
        <v>46082</v>
      </c>
      <c r="B30" s="15">
        <v>46098</v>
      </c>
      <c r="C30" s="16" t="s">
        <v>24</v>
      </c>
      <c r="D30" s="16" t="s">
        <v>1</v>
      </c>
      <c r="E30" s="16" t="s">
        <v>4</v>
      </c>
      <c r="F30" s="16" t="s">
        <v>79</v>
      </c>
      <c r="G30" s="33" t="s">
        <v>93</v>
      </c>
      <c r="H30" s="18" t="s">
        <v>94</v>
      </c>
      <c r="I30" s="29" t="s">
        <v>95</v>
      </c>
      <c r="J30" s="20">
        <v>20134</v>
      </c>
      <c r="K30" s="21">
        <v>14252</v>
      </c>
      <c r="L30" s="21">
        <v>240</v>
      </c>
      <c r="M30" s="27">
        <f t="shared" si="0"/>
        <v>1.6839741790625875</v>
      </c>
      <c r="N30" s="23"/>
      <c r="O30" s="28"/>
      <c r="P30" s="28"/>
      <c r="Q30" s="28"/>
      <c r="R30" s="28"/>
      <c r="S30" s="28"/>
      <c r="T30" s="28"/>
      <c r="U30" s="28"/>
      <c r="V30" s="28"/>
      <c r="W30" s="28"/>
      <c r="X30" s="28"/>
      <c r="Y30" s="28"/>
      <c r="Z30" s="28"/>
      <c r="AA30" s="28"/>
      <c r="AB30" s="28"/>
    </row>
    <row r="31" spans="1:28" ht="55.5" hidden="1" customHeight="1">
      <c r="A31" s="14">
        <v>46082</v>
      </c>
      <c r="B31" s="15">
        <v>46084</v>
      </c>
      <c r="C31" s="16" t="s">
        <v>24</v>
      </c>
      <c r="D31" s="16" t="s">
        <v>1</v>
      </c>
      <c r="E31" s="16" t="s">
        <v>4</v>
      </c>
      <c r="F31" s="16" t="s">
        <v>51</v>
      </c>
      <c r="G31" s="33" t="s">
        <v>96</v>
      </c>
      <c r="H31" s="18" t="s">
        <v>97</v>
      </c>
      <c r="I31" s="34" t="s">
        <v>98</v>
      </c>
      <c r="J31" s="20">
        <v>19576</v>
      </c>
      <c r="K31" s="21">
        <v>14097</v>
      </c>
      <c r="L31" s="21">
        <v>101</v>
      </c>
      <c r="M31" s="27">
        <f t="shared" si="0"/>
        <v>0.71646449599205508</v>
      </c>
      <c r="N31" s="23"/>
      <c r="O31" s="28"/>
      <c r="P31" s="25"/>
      <c r="Q31" s="25"/>
      <c r="R31" s="25"/>
      <c r="S31" s="25"/>
      <c r="T31" s="25"/>
      <c r="U31" s="25"/>
      <c r="V31" s="25"/>
      <c r="W31" s="25"/>
      <c r="X31" s="25"/>
      <c r="Y31" s="25"/>
      <c r="Z31" s="25"/>
      <c r="AA31" s="25"/>
      <c r="AB31" s="25"/>
    </row>
    <row r="32" spans="1:28" ht="55.5" hidden="1" customHeight="1">
      <c r="A32" s="14">
        <v>46082</v>
      </c>
      <c r="B32" s="15">
        <v>46112</v>
      </c>
      <c r="C32" s="16" t="s">
        <v>24</v>
      </c>
      <c r="D32" s="16" t="s">
        <v>5</v>
      </c>
      <c r="E32" s="16" t="s">
        <v>8</v>
      </c>
      <c r="F32" s="16" t="s">
        <v>79</v>
      </c>
      <c r="G32" s="33" t="s">
        <v>99</v>
      </c>
      <c r="H32" s="18" t="s">
        <v>100</v>
      </c>
      <c r="I32" s="35" t="s">
        <v>101</v>
      </c>
      <c r="J32" s="20">
        <v>18458</v>
      </c>
      <c r="K32" s="21">
        <v>12255</v>
      </c>
      <c r="L32" s="21">
        <v>872</v>
      </c>
      <c r="M32" s="27">
        <f t="shared" si="0"/>
        <v>7.1154630762953888</v>
      </c>
      <c r="N32" s="23"/>
      <c r="O32" s="28"/>
      <c r="P32" s="28"/>
      <c r="Q32" s="28"/>
      <c r="R32" s="28"/>
      <c r="S32" s="28"/>
      <c r="T32" s="28"/>
      <c r="U32" s="28"/>
      <c r="V32" s="28"/>
      <c r="W32" s="28"/>
      <c r="X32" s="28"/>
      <c r="Y32" s="28"/>
      <c r="Z32" s="28"/>
      <c r="AA32" s="28"/>
      <c r="AB32" s="28"/>
    </row>
    <row r="33" spans="1:28" ht="55.5" hidden="1" customHeight="1">
      <c r="A33" s="14">
        <v>46082</v>
      </c>
      <c r="B33" s="15">
        <v>46100</v>
      </c>
      <c r="C33" s="16" t="s">
        <v>24</v>
      </c>
      <c r="D33" s="16" t="s">
        <v>1</v>
      </c>
      <c r="E33" s="16" t="s">
        <v>8</v>
      </c>
      <c r="F33" s="16" t="s">
        <v>102</v>
      </c>
      <c r="G33" s="33" t="s">
        <v>103</v>
      </c>
      <c r="H33" s="18" t="s">
        <v>104</v>
      </c>
      <c r="I33" s="35" t="s">
        <v>105</v>
      </c>
      <c r="J33" s="20">
        <v>10394</v>
      </c>
      <c r="K33" s="21">
        <v>8504</v>
      </c>
      <c r="L33" s="21">
        <v>395</v>
      </c>
      <c r="M33" s="27">
        <f t="shared" si="0"/>
        <v>4.6448730009407333</v>
      </c>
      <c r="N33" s="23"/>
      <c r="O33" s="28"/>
      <c r="P33" s="28"/>
      <c r="Q33" s="28"/>
      <c r="R33" s="28"/>
      <c r="S33" s="28"/>
      <c r="T33" s="28"/>
      <c r="U33" s="28"/>
      <c r="V33" s="28"/>
      <c r="W33" s="28"/>
      <c r="X33" s="28"/>
      <c r="Y33" s="28"/>
      <c r="Z33" s="28"/>
      <c r="AA33" s="28"/>
      <c r="AB33" s="28"/>
    </row>
    <row r="34" spans="1:28" ht="55.5" hidden="1" customHeight="1">
      <c r="A34" s="14">
        <v>46082</v>
      </c>
      <c r="B34" s="15">
        <v>46084</v>
      </c>
      <c r="C34" s="16" t="s">
        <v>24</v>
      </c>
      <c r="D34" s="16" t="s">
        <v>5</v>
      </c>
      <c r="E34" s="16" t="s">
        <v>4</v>
      </c>
      <c r="F34" s="16" t="s">
        <v>89</v>
      </c>
      <c r="G34" s="33" t="s">
        <v>106</v>
      </c>
      <c r="H34" s="18" t="s">
        <v>107</v>
      </c>
      <c r="I34" s="29" t="s">
        <v>108</v>
      </c>
      <c r="J34" s="20">
        <v>10075</v>
      </c>
      <c r="K34" s="21">
        <v>7964</v>
      </c>
      <c r="L34" s="21">
        <v>509</v>
      </c>
      <c r="M34" s="27">
        <f t="shared" si="0"/>
        <v>6.3912606730286283</v>
      </c>
      <c r="N34" s="23"/>
      <c r="O34" s="28"/>
      <c r="P34" s="28"/>
      <c r="Q34" s="28"/>
      <c r="R34" s="28"/>
      <c r="S34" s="28"/>
      <c r="T34" s="28"/>
      <c r="U34" s="28"/>
      <c r="V34" s="28"/>
      <c r="W34" s="28"/>
      <c r="X34" s="28"/>
      <c r="Y34" s="28"/>
      <c r="Z34" s="28"/>
      <c r="AA34" s="28"/>
      <c r="AB34" s="28"/>
    </row>
    <row r="35" spans="1:28" ht="55.5" customHeight="1">
      <c r="A35" s="14">
        <v>46082</v>
      </c>
      <c r="B35" s="15">
        <v>46086</v>
      </c>
      <c r="C35" s="16" t="s">
        <v>24</v>
      </c>
      <c r="D35" s="16" t="s">
        <v>3</v>
      </c>
      <c r="E35" s="16" t="s">
        <v>6</v>
      </c>
      <c r="F35" s="16" t="s">
        <v>89</v>
      </c>
      <c r="G35" s="33" t="s">
        <v>109</v>
      </c>
      <c r="H35" s="18" t="s">
        <v>110</v>
      </c>
      <c r="I35" s="36" t="s">
        <v>111</v>
      </c>
      <c r="J35" s="20">
        <v>10035</v>
      </c>
      <c r="K35" s="21">
        <v>5632</v>
      </c>
      <c r="L35" s="21">
        <v>68</v>
      </c>
      <c r="M35" s="27">
        <f t="shared" si="0"/>
        <v>1.2073863636363635</v>
      </c>
      <c r="N35" s="23"/>
      <c r="O35" s="28"/>
      <c r="P35" s="28"/>
      <c r="Q35" s="28"/>
      <c r="R35" s="28"/>
      <c r="S35" s="28"/>
      <c r="T35" s="28"/>
      <c r="U35" s="28"/>
      <c r="V35" s="28"/>
      <c r="W35" s="28"/>
      <c r="X35" s="28"/>
      <c r="Y35" s="28"/>
      <c r="Z35" s="28"/>
      <c r="AA35" s="28"/>
      <c r="AB35" s="28"/>
    </row>
    <row r="36" spans="1:28" ht="55.5" customHeight="1">
      <c r="A36" s="14">
        <v>46082</v>
      </c>
      <c r="B36" s="15">
        <v>46105</v>
      </c>
      <c r="C36" s="24" t="s">
        <v>24</v>
      </c>
      <c r="D36" s="16" t="s">
        <v>3</v>
      </c>
      <c r="E36" s="16" t="s">
        <v>8</v>
      </c>
      <c r="F36" s="16" t="s">
        <v>35</v>
      </c>
      <c r="G36" s="16" t="s">
        <v>86</v>
      </c>
      <c r="H36" s="18" t="s">
        <v>112</v>
      </c>
      <c r="I36" s="35" t="s">
        <v>113</v>
      </c>
      <c r="J36" s="20">
        <v>6968</v>
      </c>
      <c r="K36" s="21">
        <v>4578</v>
      </c>
      <c r="L36" s="21">
        <v>313</v>
      </c>
      <c r="M36" s="27">
        <f t="shared" si="0"/>
        <v>6.8370467453036268</v>
      </c>
      <c r="N36" s="23"/>
      <c r="O36" s="28"/>
      <c r="P36" s="28"/>
      <c r="Q36" s="28"/>
      <c r="R36" s="28"/>
      <c r="S36" s="28"/>
      <c r="T36" s="28"/>
      <c r="U36" s="28"/>
      <c r="V36" s="28"/>
      <c r="W36" s="28"/>
      <c r="X36" s="28"/>
      <c r="Y36" s="28"/>
      <c r="Z36" s="28"/>
      <c r="AA36" s="28"/>
      <c r="AB36" s="28"/>
    </row>
    <row r="37" spans="1:28" ht="55.5" hidden="1" customHeight="1">
      <c r="A37" s="14">
        <v>46082</v>
      </c>
      <c r="B37" s="15">
        <v>46091</v>
      </c>
      <c r="C37" s="16" t="s">
        <v>24</v>
      </c>
      <c r="D37" s="16" t="s">
        <v>5</v>
      </c>
      <c r="E37" s="16" t="s">
        <v>4</v>
      </c>
      <c r="F37" s="16" t="s">
        <v>79</v>
      </c>
      <c r="G37" s="33" t="s">
        <v>114</v>
      </c>
      <c r="H37" s="18" t="s">
        <v>115</v>
      </c>
      <c r="I37" s="29" t="s">
        <v>116</v>
      </c>
      <c r="J37" s="20">
        <v>4604</v>
      </c>
      <c r="K37" s="21">
        <v>3634</v>
      </c>
      <c r="L37" s="21">
        <v>196</v>
      </c>
      <c r="M37" s="27">
        <f t="shared" si="0"/>
        <v>5.3935057787561913</v>
      </c>
      <c r="N37" s="23"/>
      <c r="O37" s="28"/>
      <c r="P37" s="28"/>
      <c r="Q37" s="28"/>
      <c r="R37" s="28"/>
      <c r="S37" s="28"/>
      <c r="T37" s="28"/>
      <c r="U37" s="28"/>
      <c r="V37" s="28"/>
      <c r="W37" s="28"/>
      <c r="X37" s="28"/>
      <c r="Y37" s="28"/>
      <c r="Z37" s="28"/>
      <c r="AA37" s="28"/>
      <c r="AB37" s="28"/>
    </row>
    <row r="38" spans="1:28" ht="55.5" customHeight="1">
      <c r="A38" s="14">
        <v>46082</v>
      </c>
      <c r="B38" s="15">
        <v>46104</v>
      </c>
      <c r="C38" s="16" t="s">
        <v>24</v>
      </c>
      <c r="D38" s="16" t="s">
        <v>3</v>
      </c>
      <c r="E38" s="16" t="s">
        <v>4</v>
      </c>
      <c r="F38" s="16" t="s">
        <v>79</v>
      </c>
      <c r="G38" s="33" t="s">
        <v>83</v>
      </c>
      <c r="H38" s="18" t="s">
        <v>117</v>
      </c>
      <c r="I38" s="35" t="s">
        <v>118</v>
      </c>
      <c r="J38" s="20">
        <v>4381</v>
      </c>
      <c r="K38" s="21">
        <v>2044</v>
      </c>
      <c r="L38" s="21">
        <v>72</v>
      </c>
      <c r="M38" s="27">
        <f t="shared" si="0"/>
        <v>3.5225048923679059</v>
      </c>
      <c r="N38" s="23"/>
      <c r="O38" s="28"/>
      <c r="P38" s="28"/>
      <c r="Q38" s="28"/>
      <c r="R38" s="28"/>
      <c r="S38" s="28"/>
      <c r="T38" s="28"/>
      <c r="U38" s="28"/>
      <c r="V38" s="28"/>
      <c r="W38" s="28"/>
      <c r="X38" s="28"/>
      <c r="Y38" s="28"/>
      <c r="Z38" s="28"/>
      <c r="AA38" s="28"/>
      <c r="AB38" s="28"/>
    </row>
    <row r="39" spans="1:28" ht="55.5" hidden="1" customHeight="1">
      <c r="A39" s="14">
        <v>46082</v>
      </c>
      <c r="B39" s="15">
        <v>46098</v>
      </c>
      <c r="C39" s="16" t="s">
        <v>24</v>
      </c>
      <c r="D39" s="16" t="s">
        <v>5</v>
      </c>
      <c r="E39" s="16" t="s">
        <v>8</v>
      </c>
      <c r="F39" s="16" t="s">
        <v>51</v>
      </c>
      <c r="G39" s="33" t="s">
        <v>119</v>
      </c>
      <c r="H39" s="37" t="s">
        <v>120</v>
      </c>
      <c r="I39" s="29" t="s">
        <v>121</v>
      </c>
      <c r="J39" s="20">
        <v>3644</v>
      </c>
      <c r="K39" s="21">
        <v>1840</v>
      </c>
      <c r="L39" s="21">
        <v>107</v>
      </c>
      <c r="M39" s="27">
        <f t="shared" si="0"/>
        <v>5.8152173913043477</v>
      </c>
      <c r="N39" s="23"/>
      <c r="O39" s="28"/>
      <c r="P39" s="28"/>
      <c r="Q39" s="28"/>
      <c r="R39" s="28"/>
      <c r="S39" s="28"/>
      <c r="T39" s="28"/>
      <c r="U39" s="28"/>
      <c r="V39" s="28"/>
      <c r="W39" s="28"/>
      <c r="X39" s="28"/>
      <c r="Y39" s="28"/>
      <c r="Z39" s="28"/>
      <c r="AA39" s="28"/>
      <c r="AB39" s="28"/>
    </row>
    <row r="40" spans="1:28" ht="55.5" customHeight="1">
      <c r="A40" s="14">
        <v>46082</v>
      </c>
      <c r="B40" s="15">
        <v>46098</v>
      </c>
      <c r="C40" s="16" t="s">
        <v>24</v>
      </c>
      <c r="D40" s="16" t="s">
        <v>3</v>
      </c>
      <c r="E40" s="16" t="s">
        <v>4</v>
      </c>
      <c r="F40" s="16" t="s">
        <v>79</v>
      </c>
      <c r="G40" s="33" t="s">
        <v>93</v>
      </c>
      <c r="H40" s="18" t="s">
        <v>94</v>
      </c>
      <c r="I40" s="29" t="s">
        <v>122</v>
      </c>
      <c r="J40" s="20">
        <v>2766</v>
      </c>
      <c r="K40" s="21">
        <v>1758</v>
      </c>
      <c r="L40" s="21">
        <v>75</v>
      </c>
      <c r="M40" s="27">
        <f t="shared" si="0"/>
        <v>4.2662116040955631</v>
      </c>
      <c r="N40" s="23"/>
      <c r="O40" s="28"/>
      <c r="P40" s="28"/>
      <c r="Q40" s="28"/>
      <c r="R40" s="28"/>
      <c r="S40" s="28"/>
      <c r="T40" s="28"/>
      <c r="U40" s="28"/>
      <c r="V40" s="28"/>
      <c r="W40" s="28"/>
      <c r="X40" s="28"/>
      <c r="Y40" s="28"/>
      <c r="Z40" s="28"/>
      <c r="AA40" s="28"/>
      <c r="AB40" s="28"/>
    </row>
    <row r="41" spans="1:28" ht="55.5" hidden="1" customHeight="1">
      <c r="A41" s="14">
        <v>46082</v>
      </c>
      <c r="B41" s="15">
        <v>46105</v>
      </c>
      <c r="C41" s="24" t="s">
        <v>24</v>
      </c>
      <c r="D41" s="24" t="s">
        <v>9</v>
      </c>
      <c r="E41" s="16" t="s">
        <v>8</v>
      </c>
      <c r="F41" s="16" t="s">
        <v>35</v>
      </c>
      <c r="G41" s="16" t="s">
        <v>86</v>
      </c>
      <c r="H41" s="18" t="s">
        <v>123</v>
      </c>
      <c r="I41" s="35" t="s">
        <v>124</v>
      </c>
      <c r="J41" s="20">
        <v>2551</v>
      </c>
      <c r="K41" s="21">
        <v>724</v>
      </c>
      <c r="L41" s="21">
        <v>45</v>
      </c>
      <c r="M41" s="27">
        <f t="shared" si="0"/>
        <v>6.2154696132596685</v>
      </c>
      <c r="N41" s="23"/>
      <c r="O41" s="28"/>
      <c r="P41" s="28"/>
      <c r="Q41" s="28"/>
      <c r="R41" s="28"/>
      <c r="S41" s="28"/>
      <c r="T41" s="28"/>
      <c r="U41" s="28"/>
      <c r="V41" s="28"/>
      <c r="W41" s="28"/>
      <c r="X41" s="28"/>
      <c r="Y41" s="28"/>
      <c r="Z41" s="28"/>
      <c r="AA41" s="28"/>
      <c r="AB41" s="28"/>
    </row>
    <row r="42" spans="1:28" ht="55.5" customHeight="1">
      <c r="A42" s="14">
        <v>46082</v>
      </c>
      <c r="B42" s="15">
        <v>46104</v>
      </c>
      <c r="C42" s="16" t="s">
        <v>24</v>
      </c>
      <c r="D42" s="16" t="s">
        <v>3</v>
      </c>
      <c r="E42" s="16" t="s">
        <v>8</v>
      </c>
      <c r="F42" s="16" t="s">
        <v>79</v>
      </c>
      <c r="G42" s="33" t="s">
        <v>125</v>
      </c>
      <c r="H42" s="18" t="s">
        <v>126</v>
      </c>
      <c r="I42" s="35" t="s">
        <v>127</v>
      </c>
      <c r="J42" s="20">
        <v>2307</v>
      </c>
      <c r="K42" s="21">
        <v>1501</v>
      </c>
      <c r="L42" s="21">
        <v>44</v>
      </c>
      <c r="M42" s="27">
        <f t="shared" si="0"/>
        <v>2.9313790806129245</v>
      </c>
      <c r="N42" s="23"/>
      <c r="O42" s="28"/>
      <c r="P42" s="28"/>
      <c r="Q42" s="28"/>
      <c r="R42" s="28"/>
      <c r="S42" s="28"/>
      <c r="T42" s="28"/>
      <c r="U42" s="28"/>
      <c r="V42" s="28"/>
      <c r="W42" s="28"/>
      <c r="X42" s="28"/>
      <c r="Y42" s="28"/>
      <c r="Z42" s="28"/>
      <c r="AA42" s="28"/>
      <c r="AB42" s="28"/>
    </row>
    <row r="43" spans="1:28" ht="55.5" customHeight="1">
      <c r="A43" s="14">
        <v>46082</v>
      </c>
      <c r="B43" s="15">
        <v>46084</v>
      </c>
      <c r="C43" s="16" t="s">
        <v>24</v>
      </c>
      <c r="D43" s="16" t="s">
        <v>3</v>
      </c>
      <c r="E43" s="16" t="s">
        <v>4</v>
      </c>
      <c r="F43" s="16" t="s">
        <v>51</v>
      </c>
      <c r="G43" s="33" t="s">
        <v>96</v>
      </c>
      <c r="H43" s="18" t="s">
        <v>128</v>
      </c>
      <c r="I43" s="29" t="s">
        <v>129</v>
      </c>
      <c r="J43" s="38">
        <v>2053</v>
      </c>
      <c r="K43" s="39">
        <v>912</v>
      </c>
      <c r="L43" s="39">
        <v>38</v>
      </c>
      <c r="M43" s="27">
        <f t="shared" si="0"/>
        <v>4.1666666666666661</v>
      </c>
      <c r="N43" s="23"/>
      <c r="O43" s="28"/>
      <c r="P43" s="28"/>
      <c r="Q43" s="28"/>
      <c r="R43" s="28"/>
      <c r="S43" s="28"/>
      <c r="T43" s="28"/>
      <c r="U43" s="28"/>
      <c r="V43" s="28"/>
      <c r="W43" s="28"/>
      <c r="X43" s="28"/>
      <c r="Y43" s="28"/>
      <c r="Z43" s="28"/>
      <c r="AA43" s="28"/>
      <c r="AB43" s="28"/>
    </row>
    <row r="44" spans="1:28" ht="55.5" hidden="1" customHeight="1">
      <c r="A44" s="14">
        <v>46082</v>
      </c>
      <c r="B44" s="15">
        <v>46100</v>
      </c>
      <c r="C44" s="16" t="s">
        <v>24</v>
      </c>
      <c r="D44" s="16" t="s">
        <v>9</v>
      </c>
      <c r="E44" s="16" t="s">
        <v>8</v>
      </c>
      <c r="F44" s="16" t="s">
        <v>102</v>
      </c>
      <c r="G44" s="33" t="s">
        <v>103</v>
      </c>
      <c r="H44" s="18" t="s">
        <v>130</v>
      </c>
      <c r="I44" s="35" t="s">
        <v>131</v>
      </c>
      <c r="J44" s="20">
        <v>1568</v>
      </c>
      <c r="K44" s="21">
        <v>497</v>
      </c>
      <c r="L44" s="21">
        <v>32</v>
      </c>
      <c r="M44" s="27">
        <f t="shared" si="0"/>
        <v>6.4386317907444672</v>
      </c>
      <c r="N44" s="23"/>
      <c r="O44" s="28"/>
      <c r="P44" s="28"/>
      <c r="Q44" s="28"/>
      <c r="R44" s="28"/>
      <c r="S44" s="28"/>
      <c r="T44" s="28"/>
      <c r="U44" s="28"/>
      <c r="V44" s="28"/>
      <c r="W44" s="28"/>
      <c r="X44" s="28"/>
      <c r="Y44" s="28"/>
      <c r="Z44" s="28"/>
      <c r="AA44" s="28"/>
      <c r="AB44" s="28"/>
    </row>
    <row r="45" spans="1:28" ht="55.5" customHeight="1">
      <c r="A45" s="14">
        <v>46082</v>
      </c>
      <c r="B45" s="15">
        <v>46100</v>
      </c>
      <c r="C45" s="16" t="s">
        <v>24</v>
      </c>
      <c r="D45" s="16" t="s">
        <v>3</v>
      </c>
      <c r="E45" s="16" t="s">
        <v>8</v>
      </c>
      <c r="F45" s="16" t="s">
        <v>102</v>
      </c>
      <c r="G45" s="33" t="s">
        <v>103</v>
      </c>
      <c r="H45" s="18" t="s">
        <v>104</v>
      </c>
      <c r="I45" s="35" t="s">
        <v>132</v>
      </c>
      <c r="J45" s="20">
        <v>1544</v>
      </c>
      <c r="K45" s="21">
        <v>1105</v>
      </c>
      <c r="L45" s="21">
        <v>54</v>
      </c>
      <c r="M45" s="27">
        <f t="shared" si="0"/>
        <v>4.886877828054299</v>
      </c>
      <c r="N45" s="23"/>
      <c r="O45" s="28"/>
      <c r="P45" s="28"/>
      <c r="Q45" s="28"/>
      <c r="R45" s="28"/>
      <c r="S45" s="28"/>
      <c r="T45" s="28"/>
      <c r="U45" s="28"/>
      <c r="V45" s="28"/>
      <c r="W45" s="28"/>
      <c r="X45" s="28"/>
      <c r="Y45" s="28"/>
      <c r="Z45" s="28"/>
      <c r="AA45" s="28"/>
      <c r="AB45" s="28"/>
    </row>
    <row r="46" spans="1:28" ht="55.5" hidden="1" customHeight="1">
      <c r="A46" s="14">
        <v>46082</v>
      </c>
      <c r="B46" s="15">
        <v>46105</v>
      </c>
      <c r="C46" s="24" t="s">
        <v>24</v>
      </c>
      <c r="D46" s="24" t="s">
        <v>7</v>
      </c>
      <c r="E46" s="16" t="s">
        <v>8</v>
      </c>
      <c r="F46" s="16" t="s">
        <v>35</v>
      </c>
      <c r="G46" s="16" t="s">
        <v>86</v>
      </c>
      <c r="H46" s="18" t="s">
        <v>133</v>
      </c>
      <c r="I46" s="35" t="s">
        <v>134</v>
      </c>
      <c r="J46" s="20">
        <v>1266</v>
      </c>
      <c r="K46" s="21">
        <v>1100</v>
      </c>
      <c r="L46" s="21">
        <v>136</v>
      </c>
      <c r="M46" s="27">
        <f t="shared" si="0"/>
        <v>12.363636363636363</v>
      </c>
      <c r="N46" s="23"/>
      <c r="O46" s="28"/>
      <c r="P46" s="28"/>
      <c r="Q46" s="28"/>
      <c r="R46" s="28"/>
      <c r="S46" s="28"/>
      <c r="T46" s="28"/>
      <c r="U46" s="28"/>
      <c r="V46" s="28"/>
      <c r="W46" s="28"/>
      <c r="X46" s="28"/>
      <c r="Y46" s="28"/>
      <c r="Z46" s="28"/>
      <c r="AA46" s="28"/>
      <c r="AB46" s="28"/>
    </row>
    <row r="47" spans="1:28" ht="55.5" customHeight="1">
      <c r="A47" s="14">
        <v>46082</v>
      </c>
      <c r="B47" s="15">
        <v>46093</v>
      </c>
      <c r="C47" s="16" t="s">
        <v>24</v>
      </c>
      <c r="D47" s="16" t="s">
        <v>3</v>
      </c>
      <c r="E47" s="16" t="s">
        <v>10</v>
      </c>
      <c r="F47" s="16" t="s">
        <v>79</v>
      </c>
      <c r="G47" s="33" t="s">
        <v>135</v>
      </c>
      <c r="H47" s="18" t="s">
        <v>136</v>
      </c>
      <c r="I47" s="35" t="s">
        <v>137</v>
      </c>
      <c r="J47" s="20">
        <v>1217</v>
      </c>
      <c r="K47" s="21">
        <v>991</v>
      </c>
      <c r="L47" s="21">
        <v>263</v>
      </c>
      <c r="M47" s="27">
        <f t="shared" si="0"/>
        <v>26.538849646821394</v>
      </c>
      <c r="N47" s="23"/>
      <c r="O47" s="28"/>
      <c r="P47" s="28"/>
      <c r="Q47" s="28"/>
      <c r="R47" s="28"/>
      <c r="S47" s="28"/>
      <c r="T47" s="28"/>
      <c r="U47" s="28"/>
      <c r="V47" s="28"/>
      <c r="W47" s="28"/>
      <c r="X47" s="28"/>
      <c r="Y47" s="28"/>
      <c r="Z47" s="28"/>
      <c r="AA47" s="28"/>
      <c r="AB47" s="28"/>
    </row>
    <row r="48" spans="1:28" ht="55.5" customHeight="1">
      <c r="A48" s="14">
        <v>46082</v>
      </c>
      <c r="B48" s="15">
        <v>46099</v>
      </c>
      <c r="C48" s="16" t="s">
        <v>24</v>
      </c>
      <c r="D48" s="16" t="s">
        <v>3</v>
      </c>
      <c r="E48" s="16" t="s">
        <v>10</v>
      </c>
      <c r="F48" s="16" t="s">
        <v>79</v>
      </c>
      <c r="G48" s="33" t="s">
        <v>138</v>
      </c>
      <c r="H48" s="18" t="s">
        <v>139</v>
      </c>
      <c r="I48" s="35" t="s">
        <v>140</v>
      </c>
      <c r="J48" s="20">
        <v>1085</v>
      </c>
      <c r="K48" s="21">
        <v>931</v>
      </c>
      <c r="L48" s="21">
        <v>207</v>
      </c>
      <c r="M48" s="27">
        <f t="shared" si="0"/>
        <v>22.234156820622985</v>
      </c>
      <c r="N48" s="23"/>
      <c r="O48" s="28"/>
      <c r="P48" s="28"/>
      <c r="Q48" s="28"/>
      <c r="R48" s="28"/>
      <c r="S48" s="28"/>
      <c r="T48" s="28"/>
      <c r="U48" s="28"/>
      <c r="V48" s="28"/>
      <c r="W48" s="28"/>
      <c r="X48" s="28"/>
      <c r="Y48" s="28"/>
      <c r="Z48" s="28"/>
      <c r="AA48" s="28"/>
      <c r="AB48" s="28"/>
    </row>
    <row r="49" spans="1:28" ht="55.5" customHeight="1">
      <c r="A49" s="14">
        <v>46082</v>
      </c>
      <c r="B49" s="15">
        <v>46086</v>
      </c>
      <c r="C49" s="16" t="s">
        <v>24</v>
      </c>
      <c r="D49" s="16" t="s">
        <v>3</v>
      </c>
      <c r="E49" s="16" t="s">
        <v>10</v>
      </c>
      <c r="F49" s="16" t="s">
        <v>79</v>
      </c>
      <c r="G49" s="33" t="s">
        <v>141</v>
      </c>
      <c r="H49" s="18" t="s">
        <v>142</v>
      </c>
      <c r="I49" s="35" t="s">
        <v>143</v>
      </c>
      <c r="J49" s="20">
        <v>917</v>
      </c>
      <c r="K49" s="21">
        <v>711</v>
      </c>
      <c r="L49" s="21"/>
      <c r="M49" s="27"/>
      <c r="N49" s="23"/>
      <c r="O49" s="28"/>
      <c r="P49" s="28"/>
      <c r="Q49" s="28"/>
      <c r="R49" s="28"/>
      <c r="S49" s="28"/>
      <c r="T49" s="28"/>
      <c r="U49" s="28"/>
      <c r="V49" s="28"/>
      <c r="W49" s="28"/>
      <c r="X49" s="28"/>
      <c r="Y49" s="28"/>
      <c r="Z49" s="28"/>
      <c r="AA49" s="28"/>
      <c r="AB49" s="28"/>
    </row>
    <row r="50" spans="1:28" ht="55.5" hidden="1" customHeight="1">
      <c r="A50" s="14">
        <v>46082</v>
      </c>
      <c r="B50" s="15">
        <v>46100</v>
      </c>
      <c r="C50" s="16" t="s">
        <v>24</v>
      </c>
      <c r="D50" s="16" t="s">
        <v>7</v>
      </c>
      <c r="E50" s="16" t="s">
        <v>8</v>
      </c>
      <c r="F50" s="16" t="s">
        <v>102</v>
      </c>
      <c r="G50" s="33" t="s">
        <v>103</v>
      </c>
      <c r="H50" s="18" t="s">
        <v>104</v>
      </c>
      <c r="I50" s="35" t="s">
        <v>144</v>
      </c>
      <c r="J50" s="20">
        <v>595</v>
      </c>
      <c r="K50" s="21">
        <v>499</v>
      </c>
      <c r="L50" s="21">
        <v>43</v>
      </c>
      <c r="M50" s="27">
        <f t="shared" ref="M50:M74" si="1">L50/K50*100</f>
        <v>8.6172344689378768</v>
      </c>
      <c r="N50" s="23"/>
      <c r="O50" s="25"/>
      <c r="P50" s="28"/>
      <c r="Q50" s="28"/>
      <c r="R50" s="28"/>
      <c r="S50" s="28"/>
      <c r="T50" s="28"/>
      <c r="U50" s="28"/>
      <c r="V50" s="28"/>
      <c r="W50" s="28"/>
      <c r="X50" s="28"/>
      <c r="Y50" s="28"/>
      <c r="Z50" s="28"/>
      <c r="AA50" s="28"/>
      <c r="AB50" s="28"/>
    </row>
    <row r="51" spans="1:28" ht="55.5" hidden="1" customHeight="1">
      <c r="A51" s="14">
        <v>46113</v>
      </c>
      <c r="B51" s="15">
        <v>46114</v>
      </c>
      <c r="C51" s="16" t="s">
        <v>24</v>
      </c>
      <c r="D51" s="16" t="s">
        <v>1</v>
      </c>
      <c r="E51" s="16" t="s">
        <v>4</v>
      </c>
      <c r="F51" s="16" t="s">
        <v>79</v>
      </c>
      <c r="G51" s="33" t="s">
        <v>145</v>
      </c>
      <c r="H51" s="18" t="s">
        <v>146</v>
      </c>
      <c r="I51" s="35" t="s">
        <v>147</v>
      </c>
      <c r="J51" s="20">
        <v>55752</v>
      </c>
      <c r="K51" s="21">
        <v>55752</v>
      </c>
      <c r="L51" s="21">
        <v>354</v>
      </c>
      <c r="M51" s="27">
        <f t="shared" si="1"/>
        <v>0.63495479982780878</v>
      </c>
      <c r="N51" s="23"/>
      <c r="O51" s="25"/>
      <c r="P51" s="25"/>
      <c r="Q51" s="25"/>
      <c r="R51" s="25"/>
      <c r="S51" s="25"/>
      <c r="T51" s="25"/>
      <c r="U51" s="25"/>
      <c r="V51" s="25"/>
      <c r="W51" s="25"/>
      <c r="X51" s="25"/>
      <c r="Y51" s="25"/>
      <c r="Z51" s="25"/>
      <c r="AA51" s="25"/>
      <c r="AB51" s="25"/>
    </row>
    <row r="52" spans="1:28" ht="55.5" hidden="1" customHeight="1">
      <c r="A52" s="14">
        <v>46113</v>
      </c>
      <c r="B52" s="15">
        <v>46119</v>
      </c>
      <c r="C52" s="16" t="s">
        <v>24</v>
      </c>
      <c r="D52" s="16" t="s">
        <v>5</v>
      </c>
      <c r="E52" s="16" t="s">
        <v>8</v>
      </c>
      <c r="F52" s="16" t="s">
        <v>79</v>
      </c>
      <c r="G52" s="33" t="s">
        <v>148</v>
      </c>
      <c r="H52" s="18" t="s">
        <v>149</v>
      </c>
      <c r="I52" s="35" t="s">
        <v>150</v>
      </c>
      <c r="J52" s="20">
        <v>30864</v>
      </c>
      <c r="K52" s="21">
        <v>23969</v>
      </c>
      <c r="L52" s="21">
        <v>1157</v>
      </c>
      <c r="M52" s="27">
        <f t="shared" si="1"/>
        <v>4.8270682965497098</v>
      </c>
      <c r="N52" s="23"/>
      <c r="O52" s="28"/>
      <c r="P52" s="25"/>
      <c r="Q52" s="25"/>
      <c r="R52" s="25"/>
      <c r="S52" s="25"/>
      <c r="T52" s="25"/>
      <c r="U52" s="25"/>
      <c r="V52" s="25"/>
      <c r="W52" s="25"/>
      <c r="X52" s="25"/>
      <c r="Y52" s="25"/>
      <c r="Z52" s="25"/>
      <c r="AA52" s="25"/>
      <c r="AB52" s="25"/>
    </row>
    <row r="53" spans="1:28" ht="55.5" hidden="1" customHeight="1">
      <c r="A53" s="14">
        <v>46113</v>
      </c>
      <c r="B53" s="15">
        <v>46120</v>
      </c>
      <c r="C53" s="16" t="s">
        <v>24</v>
      </c>
      <c r="D53" s="16" t="s">
        <v>1</v>
      </c>
      <c r="E53" s="16" t="s">
        <v>4</v>
      </c>
      <c r="F53" s="16" t="s">
        <v>51</v>
      </c>
      <c r="G53" s="33" t="s">
        <v>151</v>
      </c>
      <c r="H53" s="18" t="s">
        <v>152</v>
      </c>
      <c r="I53" s="35" t="s">
        <v>153</v>
      </c>
      <c r="J53" s="20">
        <v>17684</v>
      </c>
      <c r="K53" s="21">
        <v>14170</v>
      </c>
      <c r="L53" s="21">
        <v>117</v>
      </c>
      <c r="M53" s="27">
        <f t="shared" si="1"/>
        <v>0.82568807339449546</v>
      </c>
      <c r="N53" s="23"/>
      <c r="O53" s="28"/>
      <c r="P53" s="25"/>
      <c r="Q53" s="25"/>
      <c r="R53" s="25"/>
      <c r="S53" s="25"/>
      <c r="T53" s="25"/>
      <c r="U53" s="25"/>
      <c r="V53" s="25"/>
      <c r="W53" s="25"/>
      <c r="X53" s="25"/>
      <c r="Y53" s="25"/>
      <c r="Z53" s="25"/>
      <c r="AA53" s="25"/>
      <c r="AB53" s="25"/>
    </row>
    <row r="54" spans="1:28" ht="55.5" customHeight="1">
      <c r="A54" s="14">
        <v>46113</v>
      </c>
      <c r="B54" s="15">
        <v>46114</v>
      </c>
      <c r="C54" s="16" t="s">
        <v>24</v>
      </c>
      <c r="D54" s="16" t="s">
        <v>3</v>
      </c>
      <c r="E54" s="16" t="s">
        <v>8</v>
      </c>
      <c r="F54" s="16" t="s">
        <v>79</v>
      </c>
      <c r="G54" s="33" t="s">
        <v>154</v>
      </c>
      <c r="H54" s="18" t="s">
        <v>155</v>
      </c>
      <c r="I54" s="35" t="s">
        <v>156</v>
      </c>
      <c r="J54" s="20">
        <v>2609</v>
      </c>
      <c r="K54" s="21">
        <v>1512</v>
      </c>
      <c r="L54" s="21">
        <v>141</v>
      </c>
      <c r="M54" s="27">
        <f t="shared" si="1"/>
        <v>9.325396825396826</v>
      </c>
      <c r="N54" s="23"/>
      <c r="O54" s="40" t="s">
        <v>157</v>
      </c>
      <c r="P54" s="25"/>
      <c r="Q54" s="25"/>
      <c r="R54" s="25"/>
      <c r="S54" s="25"/>
      <c r="T54" s="25"/>
      <c r="U54" s="25"/>
      <c r="V54" s="25"/>
      <c r="W54" s="25"/>
      <c r="X54" s="25"/>
      <c r="Y54" s="25"/>
      <c r="Z54" s="25"/>
      <c r="AA54" s="25"/>
      <c r="AB54" s="25"/>
    </row>
    <row r="55" spans="1:28" ht="55.5" hidden="1" customHeight="1">
      <c r="A55" s="14">
        <v>46113</v>
      </c>
      <c r="B55" s="15">
        <v>46126</v>
      </c>
      <c r="C55" s="16" t="s">
        <v>24</v>
      </c>
      <c r="D55" s="16" t="s">
        <v>5</v>
      </c>
      <c r="E55" s="16" t="s">
        <v>8</v>
      </c>
      <c r="F55" s="16" t="s">
        <v>89</v>
      </c>
      <c r="G55" s="33" t="s">
        <v>158</v>
      </c>
      <c r="H55" s="18" t="s">
        <v>159</v>
      </c>
      <c r="I55" s="35" t="s">
        <v>160</v>
      </c>
      <c r="J55" s="20">
        <v>6789</v>
      </c>
      <c r="K55" s="21">
        <v>5154</v>
      </c>
      <c r="L55" s="21">
        <v>340</v>
      </c>
      <c r="M55" s="27">
        <f t="shared" si="1"/>
        <v>6.5968180054326737</v>
      </c>
      <c r="N55" s="23"/>
      <c r="O55" s="25"/>
      <c r="P55" s="25"/>
      <c r="Q55" s="25"/>
      <c r="R55" s="25"/>
      <c r="S55" s="25"/>
      <c r="T55" s="25"/>
      <c r="U55" s="25"/>
      <c r="V55" s="25"/>
      <c r="W55" s="25"/>
      <c r="X55" s="25"/>
      <c r="Y55" s="25"/>
      <c r="Z55" s="25"/>
      <c r="AA55" s="25"/>
      <c r="AB55" s="25"/>
    </row>
    <row r="56" spans="1:28" ht="70.5" hidden="1" customHeight="1">
      <c r="A56" s="14">
        <v>46113</v>
      </c>
      <c r="B56" s="15">
        <v>46140</v>
      </c>
      <c r="C56" s="16" t="s">
        <v>24</v>
      </c>
      <c r="D56" s="16" t="s">
        <v>5</v>
      </c>
      <c r="E56" s="16" t="s">
        <v>8</v>
      </c>
      <c r="F56" s="16" t="s">
        <v>89</v>
      </c>
      <c r="G56" s="33" t="s">
        <v>161</v>
      </c>
      <c r="H56" s="18" t="s">
        <v>162</v>
      </c>
      <c r="I56" s="35" t="s">
        <v>163</v>
      </c>
      <c r="J56" s="20">
        <v>1321</v>
      </c>
      <c r="K56" s="21">
        <v>953</v>
      </c>
      <c r="L56" s="21">
        <v>60</v>
      </c>
      <c r="M56" s="27">
        <f t="shared" si="1"/>
        <v>6.295907660020986</v>
      </c>
      <c r="N56" s="23"/>
      <c r="O56" s="25"/>
      <c r="P56" s="25"/>
      <c r="Q56" s="25"/>
      <c r="R56" s="25"/>
      <c r="S56" s="25"/>
      <c r="T56" s="25"/>
      <c r="U56" s="25"/>
      <c r="V56" s="25"/>
      <c r="W56" s="25"/>
      <c r="X56" s="25"/>
      <c r="Y56" s="25"/>
      <c r="Z56" s="25"/>
      <c r="AA56" s="25"/>
      <c r="AB56" s="25"/>
    </row>
    <row r="57" spans="1:28" ht="55.5" customHeight="1">
      <c r="A57" s="14">
        <v>46113</v>
      </c>
      <c r="B57" s="15">
        <v>46139</v>
      </c>
      <c r="C57" s="16" t="s">
        <v>24</v>
      </c>
      <c r="D57" s="16" t="s">
        <v>3</v>
      </c>
      <c r="E57" s="16" t="s">
        <v>10</v>
      </c>
      <c r="F57" s="16" t="s">
        <v>164</v>
      </c>
      <c r="G57" s="33" t="s">
        <v>89</v>
      </c>
      <c r="H57" s="18" t="s">
        <v>165</v>
      </c>
      <c r="I57" s="41" t="s">
        <v>166</v>
      </c>
      <c r="J57" s="20">
        <v>1644</v>
      </c>
      <c r="K57" s="21">
        <v>1216</v>
      </c>
      <c r="L57" s="21">
        <v>420</v>
      </c>
      <c r="M57" s="27">
        <f t="shared" si="1"/>
        <v>34.539473684210527</v>
      </c>
      <c r="N57" s="23"/>
      <c r="O57" s="25"/>
      <c r="P57" s="25"/>
      <c r="Q57" s="25"/>
      <c r="R57" s="25"/>
      <c r="S57" s="25"/>
      <c r="T57" s="25"/>
      <c r="U57" s="25"/>
      <c r="V57" s="25"/>
      <c r="W57" s="25"/>
      <c r="X57" s="25"/>
      <c r="Y57" s="25"/>
      <c r="Z57" s="25"/>
      <c r="AA57" s="25"/>
      <c r="AB57" s="25"/>
    </row>
    <row r="58" spans="1:28" ht="55.5" customHeight="1">
      <c r="A58" s="14">
        <v>46113</v>
      </c>
      <c r="B58" s="15">
        <v>46139</v>
      </c>
      <c r="C58" s="16" t="s">
        <v>24</v>
      </c>
      <c r="D58" s="16" t="s">
        <v>3</v>
      </c>
      <c r="E58" s="16" t="s">
        <v>10</v>
      </c>
      <c r="F58" s="16" t="s">
        <v>164</v>
      </c>
      <c r="G58" s="33" t="s">
        <v>89</v>
      </c>
      <c r="H58" s="18" t="s">
        <v>167</v>
      </c>
      <c r="I58" s="41" t="s">
        <v>60</v>
      </c>
      <c r="J58" s="20">
        <v>1771</v>
      </c>
      <c r="K58" s="21">
        <v>1461</v>
      </c>
      <c r="L58" s="21">
        <v>441</v>
      </c>
      <c r="M58" s="27">
        <f t="shared" si="1"/>
        <v>30.184804928131413</v>
      </c>
      <c r="N58" s="23"/>
      <c r="O58" s="25"/>
      <c r="P58" s="25"/>
      <c r="Q58" s="25"/>
      <c r="R58" s="25"/>
      <c r="S58" s="25"/>
      <c r="T58" s="25"/>
      <c r="U58" s="25"/>
      <c r="V58" s="25"/>
      <c r="W58" s="25"/>
      <c r="X58" s="25"/>
      <c r="Y58" s="25"/>
      <c r="Z58" s="25"/>
      <c r="AA58" s="25"/>
      <c r="AB58" s="25"/>
    </row>
    <row r="59" spans="1:28" ht="55.5" hidden="1" customHeight="1">
      <c r="A59" s="14">
        <v>46113</v>
      </c>
      <c r="B59" s="15">
        <v>46135</v>
      </c>
      <c r="C59" s="16" t="s">
        <v>24</v>
      </c>
      <c r="D59" s="16" t="s">
        <v>1</v>
      </c>
      <c r="E59" s="16" t="s">
        <v>4</v>
      </c>
      <c r="F59" s="16" t="s">
        <v>79</v>
      </c>
      <c r="G59" s="33" t="s">
        <v>168</v>
      </c>
      <c r="H59" s="18" t="s">
        <v>169</v>
      </c>
      <c r="I59" s="35" t="s">
        <v>170</v>
      </c>
      <c r="J59" s="20">
        <v>24200</v>
      </c>
      <c r="K59" s="21">
        <v>16800</v>
      </c>
      <c r="L59" s="21">
        <v>91</v>
      </c>
      <c r="M59" s="27">
        <f t="shared" si="1"/>
        <v>0.54166666666666674</v>
      </c>
      <c r="N59" s="23"/>
      <c r="O59" s="25"/>
      <c r="P59" s="25"/>
      <c r="Q59" s="25"/>
      <c r="R59" s="25"/>
      <c r="S59" s="25"/>
      <c r="T59" s="25"/>
      <c r="U59" s="25"/>
      <c r="V59" s="25"/>
      <c r="W59" s="25"/>
      <c r="X59" s="25"/>
      <c r="Y59" s="25"/>
      <c r="Z59" s="25"/>
      <c r="AA59" s="25"/>
      <c r="AB59" s="25"/>
    </row>
    <row r="60" spans="1:28" ht="55.5" hidden="1" customHeight="1">
      <c r="A60" s="14">
        <v>46143</v>
      </c>
      <c r="B60" s="15">
        <v>46161</v>
      </c>
      <c r="C60" s="16" t="s">
        <v>24</v>
      </c>
      <c r="D60" s="16" t="s">
        <v>5</v>
      </c>
      <c r="E60" s="16" t="s">
        <v>8</v>
      </c>
      <c r="F60" s="16" t="s">
        <v>35</v>
      </c>
      <c r="G60" s="33" t="s">
        <v>171</v>
      </c>
      <c r="H60" s="18" t="s">
        <v>172</v>
      </c>
      <c r="I60" s="35" t="s">
        <v>173</v>
      </c>
      <c r="J60" s="20">
        <v>3720</v>
      </c>
      <c r="K60" s="21">
        <v>1844</v>
      </c>
      <c r="L60" s="21">
        <v>216</v>
      </c>
      <c r="M60" s="27">
        <f t="shared" si="1"/>
        <v>11.713665943600867</v>
      </c>
      <c r="N60" s="23"/>
      <c r="O60" s="25"/>
      <c r="P60" s="25"/>
      <c r="Q60" s="25"/>
      <c r="R60" s="25"/>
      <c r="S60" s="25"/>
      <c r="T60" s="25"/>
      <c r="U60" s="25"/>
      <c r="V60" s="25"/>
      <c r="W60" s="25"/>
      <c r="X60" s="25"/>
      <c r="Y60" s="25"/>
      <c r="Z60" s="25"/>
      <c r="AA60" s="25"/>
      <c r="AB60" s="25"/>
    </row>
    <row r="61" spans="1:28" ht="55.5" hidden="1" customHeight="1">
      <c r="A61" s="14">
        <v>46143</v>
      </c>
      <c r="B61" s="15">
        <v>46168</v>
      </c>
      <c r="C61" s="16" t="s">
        <v>24</v>
      </c>
      <c r="D61" s="16" t="s">
        <v>5</v>
      </c>
      <c r="E61" s="16" t="s">
        <v>8</v>
      </c>
      <c r="F61" s="16" t="s">
        <v>35</v>
      </c>
      <c r="G61" s="33" t="s">
        <v>174</v>
      </c>
      <c r="H61" s="18" t="s">
        <v>175</v>
      </c>
      <c r="I61" s="35" t="s">
        <v>176</v>
      </c>
      <c r="J61" s="20">
        <v>1138</v>
      </c>
      <c r="K61" s="21">
        <v>531</v>
      </c>
      <c r="L61" s="21">
        <v>72</v>
      </c>
      <c r="M61" s="27">
        <f t="shared" si="1"/>
        <v>13.559322033898304</v>
      </c>
      <c r="N61" s="23"/>
      <c r="O61" s="25"/>
      <c r="P61" s="25"/>
      <c r="Q61" s="25"/>
      <c r="R61" s="25"/>
      <c r="S61" s="25"/>
      <c r="T61" s="25"/>
      <c r="U61" s="25"/>
      <c r="V61" s="25"/>
      <c r="W61" s="25"/>
      <c r="X61" s="25"/>
      <c r="Y61" s="25"/>
      <c r="Z61" s="25"/>
      <c r="AA61" s="25"/>
      <c r="AB61" s="25"/>
    </row>
    <row r="62" spans="1:28" ht="55.5" hidden="1" customHeight="1">
      <c r="A62" s="14">
        <v>46143</v>
      </c>
      <c r="B62" s="15">
        <v>46149</v>
      </c>
      <c r="C62" s="16" t="s">
        <v>24</v>
      </c>
      <c r="D62" s="16" t="s">
        <v>1</v>
      </c>
      <c r="E62" s="16" t="s">
        <v>4</v>
      </c>
      <c r="F62" s="16" t="s">
        <v>89</v>
      </c>
      <c r="G62" s="33" t="s">
        <v>177</v>
      </c>
      <c r="H62" s="18" t="s">
        <v>178</v>
      </c>
      <c r="I62" s="35" t="s">
        <v>179</v>
      </c>
      <c r="J62" s="20">
        <v>43100</v>
      </c>
      <c r="K62" s="21">
        <v>30189</v>
      </c>
      <c r="L62" s="21">
        <v>192</v>
      </c>
      <c r="M62" s="27">
        <f t="shared" si="1"/>
        <v>0.63599324257179768</v>
      </c>
      <c r="N62" s="23"/>
      <c r="O62" s="25"/>
      <c r="P62" s="25"/>
      <c r="Q62" s="25"/>
      <c r="R62" s="25"/>
      <c r="S62" s="25"/>
      <c r="T62" s="25"/>
      <c r="U62" s="25"/>
      <c r="V62" s="25"/>
      <c r="W62" s="25"/>
      <c r="X62" s="25"/>
      <c r="Y62" s="25"/>
      <c r="Z62" s="25"/>
      <c r="AA62" s="25"/>
      <c r="AB62" s="25"/>
    </row>
    <row r="63" spans="1:28" ht="55.5" customHeight="1">
      <c r="A63" s="14">
        <v>46143</v>
      </c>
      <c r="B63" s="15">
        <v>46149</v>
      </c>
      <c r="C63" s="16" t="s">
        <v>24</v>
      </c>
      <c r="D63" s="16" t="s">
        <v>3</v>
      </c>
      <c r="E63" s="16" t="s">
        <v>4</v>
      </c>
      <c r="F63" s="16" t="s">
        <v>89</v>
      </c>
      <c r="G63" s="33" t="s">
        <v>177</v>
      </c>
      <c r="H63" s="18" t="s">
        <v>178</v>
      </c>
      <c r="I63" s="35" t="s">
        <v>180</v>
      </c>
      <c r="J63" s="20">
        <v>11526</v>
      </c>
      <c r="K63" s="21">
        <v>6410</v>
      </c>
      <c r="L63" s="21">
        <v>280</v>
      </c>
      <c r="M63" s="27">
        <f t="shared" si="1"/>
        <v>4.3681747269890794</v>
      </c>
      <c r="N63" s="23"/>
      <c r="O63" s="25"/>
      <c r="P63" s="25"/>
      <c r="Q63" s="25"/>
      <c r="R63" s="25"/>
      <c r="S63" s="25"/>
      <c r="T63" s="25"/>
      <c r="U63" s="25"/>
      <c r="V63" s="25"/>
      <c r="W63" s="25"/>
      <c r="X63" s="25"/>
      <c r="Y63" s="25"/>
      <c r="Z63" s="25"/>
      <c r="AA63" s="25"/>
      <c r="AB63" s="25"/>
    </row>
    <row r="64" spans="1:28" ht="55.5" hidden="1" customHeight="1">
      <c r="A64" s="14">
        <v>46143</v>
      </c>
      <c r="B64" s="15">
        <v>46146</v>
      </c>
      <c r="C64" s="16" t="s">
        <v>24</v>
      </c>
      <c r="D64" s="16" t="s">
        <v>1</v>
      </c>
      <c r="E64" s="16" t="s">
        <v>4</v>
      </c>
      <c r="F64" s="16" t="s">
        <v>79</v>
      </c>
      <c r="G64" s="33" t="s">
        <v>181</v>
      </c>
      <c r="H64" s="18" t="s">
        <v>182</v>
      </c>
      <c r="I64" s="35" t="s">
        <v>183</v>
      </c>
      <c r="J64" s="20">
        <v>310080</v>
      </c>
      <c r="K64" s="21">
        <v>239222</v>
      </c>
      <c r="L64" s="21">
        <v>659</v>
      </c>
      <c r="M64" s="27">
        <f t="shared" si="1"/>
        <v>0.27547633578851444</v>
      </c>
      <c r="N64" s="23"/>
      <c r="O64" s="25"/>
      <c r="P64" s="25"/>
      <c r="Q64" s="25"/>
      <c r="R64" s="25"/>
      <c r="S64" s="25"/>
      <c r="T64" s="25"/>
      <c r="U64" s="25"/>
      <c r="V64" s="25"/>
      <c r="W64" s="25"/>
      <c r="X64" s="25"/>
      <c r="Y64" s="25"/>
      <c r="Z64" s="25"/>
      <c r="AA64" s="25"/>
      <c r="AB64" s="25"/>
    </row>
    <row r="65" spans="1:28" ht="55.5" customHeight="1">
      <c r="A65" s="14">
        <v>46143</v>
      </c>
      <c r="B65" s="15">
        <v>46147</v>
      </c>
      <c r="C65" s="16" t="s">
        <v>24</v>
      </c>
      <c r="D65" s="16" t="s">
        <v>3</v>
      </c>
      <c r="E65" s="16" t="s">
        <v>4</v>
      </c>
      <c r="F65" s="16" t="s">
        <v>79</v>
      </c>
      <c r="G65" s="33" t="s">
        <v>181</v>
      </c>
      <c r="H65" s="18" t="s">
        <v>184</v>
      </c>
      <c r="I65" s="35" t="s">
        <v>185</v>
      </c>
      <c r="J65" s="20">
        <v>89577</v>
      </c>
      <c r="K65" s="21">
        <v>58065</v>
      </c>
      <c r="L65" s="21">
        <v>1064</v>
      </c>
      <c r="M65" s="27">
        <f t="shared" si="1"/>
        <v>1.8324291742013259</v>
      </c>
      <c r="N65" s="23"/>
      <c r="O65" s="25"/>
      <c r="P65" s="25"/>
      <c r="Q65" s="25"/>
      <c r="R65" s="25"/>
      <c r="S65" s="25"/>
      <c r="T65" s="25"/>
      <c r="U65" s="25"/>
      <c r="V65" s="25"/>
      <c r="W65" s="25"/>
      <c r="X65" s="25"/>
      <c r="Y65" s="25"/>
      <c r="Z65" s="25"/>
      <c r="AA65" s="25"/>
      <c r="AB65" s="25"/>
    </row>
    <row r="66" spans="1:28" ht="55.5" hidden="1" customHeight="1">
      <c r="A66" s="14">
        <v>46143</v>
      </c>
      <c r="B66" s="15">
        <v>46147</v>
      </c>
      <c r="C66" s="16" t="s">
        <v>24</v>
      </c>
      <c r="D66" s="16" t="s">
        <v>1</v>
      </c>
      <c r="E66" s="16" t="s">
        <v>4</v>
      </c>
      <c r="F66" s="16" t="s">
        <v>79</v>
      </c>
      <c r="G66" s="33" t="s">
        <v>186</v>
      </c>
      <c r="H66" s="18" t="s">
        <v>187</v>
      </c>
      <c r="I66" s="35" t="s">
        <v>188</v>
      </c>
      <c r="J66" s="20">
        <v>552200</v>
      </c>
      <c r="K66" s="21">
        <v>376544</v>
      </c>
      <c r="L66" s="21">
        <v>1400</v>
      </c>
      <c r="M66" s="27">
        <f t="shared" si="1"/>
        <v>0.37180249851279001</v>
      </c>
      <c r="N66" s="23"/>
      <c r="O66" s="25"/>
      <c r="P66" s="25"/>
      <c r="Q66" s="25"/>
      <c r="R66" s="25"/>
      <c r="S66" s="25"/>
      <c r="T66" s="25"/>
      <c r="U66" s="25"/>
      <c r="V66" s="25"/>
      <c r="W66" s="25"/>
      <c r="X66" s="25"/>
      <c r="Y66" s="25"/>
      <c r="Z66" s="25"/>
      <c r="AA66" s="25"/>
      <c r="AB66" s="25"/>
    </row>
    <row r="67" spans="1:28" ht="55.5" customHeight="1">
      <c r="A67" s="14">
        <v>46143</v>
      </c>
      <c r="B67" s="15">
        <v>46148</v>
      </c>
      <c r="C67" s="16" t="s">
        <v>24</v>
      </c>
      <c r="D67" s="16" t="s">
        <v>3</v>
      </c>
      <c r="E67" s="16" t="s">
        <v>4</v>
      </c>
      <c r="F67" s="16" t="s">
        <v>79</v>
      </c>
      <c r="G67" s="33" t="s">
        <v>186</v>
      </c>
      <c r="H67" s="18" t="s">
        <v>189</v>
      </c>
      <c r="I67" s="35" t="s">
        <v>190</v>
      </c>
      <c r="J67" s="20">
        <v>12789</v>
      </c>
      <c r="K67" s="21">
        <v>6900</v>
      </c>
      <c r="L67" s="21">
        <v>256</v>
      </c>
      <c r="M67" s="27">
        <f t="shared" si="1"/>
        <v>3.7101449275362319</v>
      </c>
      <c r="N67" s="23"/>
      <c r="O67" s="25"/>
      <c r="P67" s="25"/>
      <c r="Q67" s="25"/>
      <c r="R67" s="25"/>
      <c r="S67" s="25"/>
      <c r="T67" s="25"/>
      <c r="U67" s="25"/>
      <c r="V67" s="25"/>
      <c r="W67" s="25"/>
      <c r="X67" s="25"/>
      <c r="Y67" s="25"/>
      <c r="Z67" s="25"/>
      <c r="AA67" s="25"/>
      <c r="AB67" s="25"/>
    </row>
    <row r="68" spans="1:28" ht="55.5" customHeight="1">
      <c r="A68" s="14">
        <v>46143</v>
      </c>
      <c r="B68" s="15">
        <v>46171</v>
      </c>
      <c r="C68" s="16" t="s">
        <v>24</v>
      </c>
      <c r="D68" s="16" t="s">
        <v>3</v>
      </c>
      <c r="E68" s="16" t="s">
        <v>4</v>
      </c>
      <c r="F68" s="16" t="s">
        <v>35</v>
      </c>
      <c r="G68" s="33" t="s">
        <v>191</v>
      </c>
      <c r="H68" s="18" t="s">
        <v>192</v>
      </c>
      <c r="I68" s="35" t="s">
        <v>193</v>
      </c>
      <c r="J68" s="20">
        <v>27510</v>
      </c>
      <c r="K68" s="21">
        <v>19600</v>
      </c>
      <c r="L68" s="21">
        <v>250</v>
      </c>
      <c r="M68" s="27">
        <f t="shared" si="1"/>
        <v>1.2755102040816326</v>
      </c>
      <c r="N68" s="23"/>
      <c r="O68" s="25"/>
      <c r="P68" s="25"/>
      <c r="Q68" s="25"/>
      <c r="R68" s="25"/>
      <c r="S68" s="25"/>
      <c r="T68" s="25"/>
      <c r="U68" s="25"/>
      <c r="V68" s="25"/>
      <c r="W68" s="25"/>
      <c r="X68" s="25"/>
      <c r="Y68" s="25"/>
      <c r="Z68" s="25"/>
      <c r="AA68" s="25"/>
      <c r="AB68" s="25"/>
    </row>
    <row r="69" spans="1:28" ht="55.5" hidden="1" customHeight="1">
      <c r="A69" s="14">
        <v>46143</v>
      </c>
      <c r="B69" s="15">
        <v>46171</v>
      </c>
      <c r="C69" s="16" t="s">
        <v>24</v>
      </c>
      <c r="D69" s="16" t="s">
        <v>1</v>
      </c>
      <c r="E69" s="16" t="s">
        <v>4</v>
      </c>
      <c r="F69" s="16" t="s">
        <v>35</v>
      </c>
      <c r="G69" s="33" t="s">
        <v>191</v>
      </c>
      <c r="H69" s="18" t="s">
        <v>194</v>
      </c>
      <c r="I69" s="35" t="s">
        <v>195</v>
      </c>
      <c r="J69" s="20">
        <v>1852</v>
      </c>
      <c r="K69" s="21">
        <v>1110</v>
      </c>
      <c r="L69" s="21">
        <v>53</v>
      </c>
      <c r="M69" s="27">
        <f t="shared" si="1"/>
        <v>4.7747747747747749</v>
      </c>
      <c r="N69" s="23"/>
      <c r="O69" s="25"/>
      <c r="P69" s="25"/>
      <c r="Q69" s="25"/>
      <c r="R69" s="25"/>
      <c r="S69" s="25"/>
      <c r="T69" s="25"/>
      <c r="U69" s="25"/>
      <c r="V69" s="25"/>
      <c r="W69" s="25"/>
      <c r="X69" s="25"/>
      <c r="Y69" s="25"/>
      <c r="Z69" s="25"/>
      <c r="AA69" s="25"/>
      <c r="AB69" s="25"/>
    </row>
    <row r="70" spans="1:28" ht="55.5" customHeight="1">
      <c r="A70" s="14">
        <v>46143</v>
      </c>
      <c r="B70" s="15">
        <v>46153</v>
      </c>
      <c r="C70" s="16" t="s">
        <v>24</v>
      </c>
      <c r="D70" s="16" t="s">
        <v>3</v>
      </c>
      <c r="E70" s="16" t="s">
        <v>4</v>
      </c>
      <c r="F70" s="16" t="s">
        <v>51</v>
      </c>
      <c r="G70" s="33" t="s">
        <v>196</v>
      </c>
      <c r="H70" s="18" t="s">
        <v>197</v>
      </c>
      <c r="I70" s="35" t="s">
        <v>198</v>
      </c>
      <c r="J70" s="20">
        <v>3887</v>
      </c>
      <c r="K70" s="21">
        <v>1935</v>
      </c>
      <c r="L70" s="21">
        <v>72</v>
      </c>
      <c r="M70" s="27">
        <f t="shared" si="1"/>
        <v>3.7209302325581395</v>
      </c>
      <c r="N70" s="23"/>
      <c r="O70" s="25"/>
      <c r="P70" s="25"/>
      <c r="Q70" s="25"/>
      <c r="R70" s="25"/>
      <c r="S70" s="25"/>
      <c r="T70" s="25"/>
      <c r="U70" s="25"/>
      <c r="V70" s="25"/>
      <c r="W70" s="25"/>
      <c r="X70" s="25"/>
      <c r="Y70" s="25"/>
      <c r="Z70" s="25"/>
      <c r="AA70" s="25"/>
      <c r="AB70" s="25"/>
    </row>
    <row r="71" spans="1:28" ht="55.5" hidden="1" customHeight="1">
      <c r="A71" s="14">
        <v>46143</v>
      </c>
      <c r="B71" s="15">
        <v>46153</v>
      </c>
      <c r="C71" s="16" t="s">
        <v>24</v>
      </c>
      <c r="D71" s="16" t="s">
        <v>1</v>
      </c>
      <c r="E71" s="16" t="s">
        <v>4</v>
      </c>
      <c r="F71" s="16" t="s">
        <v>51</v>
      </c>
      <c r="G71" s="33" t="s">
        <v>196</v>
      </c>
      <c r="H71" s="18" t="s">
        <v>199</v>
      </c>
      <c r="I71" s="35" t="s">
        <v>200</v>
      </c>
      <c r="J71" s="20">
        <v>28290</v>
      </c>
      <c r="K71" s="21">
        <v>20557</v>
      </c>
      <c r="L71" s="21">
        <v>92</v>
      </c>
      <c r="M71" s="27">
        <f t="shared" si="1"/>
        <v>0.44753611908352386</v>
      </c>
      <c r="N71" s="23"/>
      <c r="O71" s="25"/>
      <c r="P71" s="25"/>
      <c r="Q71" s="25"/>
      <c r="R71" s="25"/>
      <c r="S71" s="25"/>
      <c r="T71" s="25"/>
      <c r="U71" s="25"/>
      <c r="V71" s="25"/>
      <c r="W71" s="25"/>
      <c r="X71" s="25"/>
      <c r="Y71" s="25"/>
      <c r="Z71" s="25"/>
      <c r="AA71" s="25"/>
      <c r="AB71" s="25"/>
    </row>
    <row r="72" spans="1:28" ht="55.5" customHeight="1">
      <c r="A72" s="14">
        <v>46143</v>
      </c>
      <c r="B72" s="15">
        <v>46157</v>
      </c>
      <c r="C72" s="16" t="s">
        <v>24</v>
      </c>
      <c r="D72" s="16" t="s">
        <v>3</v>
      </c>
      <c r="E72" s="16" t="s">
        <v>4</v>
      </c>
      <c r="F72" s="16" t="s">
        <v>35</v>
      </c>
      <c r="G72" s="33" t="s">
        <v>35</v>
      </c>
      <c r="H72" s="18" t="s">
        <v>201</v>
      </c>
      <c r="I72" s="35" t="s">
        <v>202</v>
      </c>
      <c r="J72" s="20">
        <v>27772</v>
      </c>
      <c r="K72" s="21">
        <v>15737</v>
      </c>
      <c r="L72" s="21">
        <v>278</v>
      </c>
      <c r="M72" s="27">
        <f t="shared" si="1"/>
        <v>1.7665374594903731</v>
      </c>
      <c r="N72" s="23"/>
      <c r="O72" s="25"/>
      <c r="P72" s="25"/>
      <c r="Q72" s="25"/>
      <c r="R72" s="25"/>
      <c r="S72" s="25"/>
      <c r="T72" s="25"/>
      <c r="U72" s="25"/>
      <c r="V72" s="25"/>
      <c r="W72" s="25"/>
      <c r="X72" s="25"/>
      <c r="Y72" s="25"/>
      <c r="Z72" s="25"/>
      <c r="AA72" s="25"/>
      <c r="AB72" s="25"/>
    </row>
    <row r="73" spans="1:28" ht="55.5" hidden="1" customHeight="1">
      <c r="A73" s="14">
        <v>46143</v>
      </c>
      <c r="B73" s="15">
        <v>46157</v>
      </c>
      <c r="C73" s="16" t="s">
        <v>24</v>
      </c>
      <c r="D73" s="16" t="s">
        <v>1</v>
      </c>
      <c r="E73" s="16" t="s">
        <v>4</v>
      </c>
      <c r="F73" s="16" t="s">
        <v>35</v>
      </c>
      <c r="G73" s="33" t="s">
        <v>35</v>
      </c>
      <c r="H73" s="18" t="s">
        <v>203</v>
      </c>
      <c r="I73" s="35" t="s">
        <v>204</v>
      </c>
      <c r="J73" s="20">
        <v>1029677</v>
      </c>
      <c r="K73" s="21">
        <v>628040</v>
      </c>
      <c r="L73" s="21">
        <v>1099</v>
      </c>
      <c r="M73" s="27">
        <f t="shared" si="1"/>
        <v>0.17498885421310745</v>
      </c>
      <c r="N73" s="23"/>
      <c r="O73" s="25"/>
      <c r="P73" s="25"/>
      <c r="Q73" s="25"/>
      <c r="R73" s="25"/>
      <c r="S73" s="25"/>
      <c r="T73" s="25"/>
      <c r="U73" s="25"/>
      <c r="V73" s="25"/>
      <c r="W73" s="25"/>
      <c r="X73" s="25"/>
      <c r="Y73" s="25"/>
      <c r="Z73" s="25"/>
      <c r="AA73" s="25"/>
      <c r="AB73" s="25"/>
    </row>
    <row r="74" spans="1:28" ht="55.5" hidden="1" customHeight="1">
      <c r="A74" s="14">
        <v>46143</v>
      </c>
      <c r="B74" s="15">
        <v>46161</v>
      </c>
      <c r="C74" s="16" t="s">
        <v>24</v>
      </c>
      <c r="D74" s="16" t="s">
        <v>1</v>
      </c>
      <c r="E74" s="16" t="s">
        <v>8</v>
      </c>
      <c r="F74" s="16" t="s">
        <v>79</v>
      </c>
      <c r="G74" s="33" t="s">
        <v>205</v>
      </c>
      <c r="H74" s="18" t="s">
        <v>206</v>
      </c>
      <c r="I74" s="35" t="s">
        <v>207</v>
      </c>
      <c r="J74" s="20">
        <v>100332</v>
      </c>
      <c r="K74" s="21">
        <v>83000</v>
      </c>
      <c r="L74" s="21">
        <v>1300</v>
      </c>
      <c r="M74" s="27">
        <f t="shared" si="1"/>
        <v>1.566265060240964</v>
      </c>
      <c r="N74" s="23"/>
      <c r="O74" s="25"/>
      <c r="P74" s="25"/>
      <c r="Q74" s="25"/>
      <c r="R74" s="25"/>
      <c r="S74" s="25"/>
      <c r="T74" s="25"/>
      <c r="U74" s="25"/>
      <c r="V74" s="25"/>
      <c r="W74" s="25"/>
      <c r="X74" s="25"/>
      <c r="Y74" s="25"/>
      <c r="Z74" s="25"/>
      <c r="AA74" s="25"/>
      <c r="AB74" s="25"/>
    </row>
    <row r="75" spans="1:28" ht="55.5" hidden="1" customHeight="1">
      <c r="A75" s="14">
        <v>46143</v>
      </c>
      <c r="B75" s="15">
        <v>46169</v>
      </c>
      <c r="C75" s="16" t="s">
        <v>24</v>
      </c>
      <c r="D75" s="16" t="s">
        <v>1</v>
      </c>
      <c r="E75" s="16" t="s">
        <v>8</v>
      </c>
      <c r="F75" s="16" t="s">
        <v>35</v>
      </c>
      <c r="G75" s="33" t="s">
        <v>208</v>
      </c>
      <c r="H75" s="18" t="s">
        <v>209</v>
      </c>
      <c r="I75" s="35" t="s">
        <v>210</v>
      </c>
      <c r="J75" s="20">
        <v>26000</v>
      </c>
      <c r="K75" s="21">
        <v>12820</v>
      </c>
      <c r="L75" s="21">
        <v>126</v>
      </c>
      <c r="M75" s="27">
        <f>L75/J75*100</f>
        <v>0.48461538461538461</v>
      </c>
      <c r="N75" s="23"/>
      <c r="O75" s="25"/>
      <c r="P75" s="25"/>
      <c r="Q75" s="25"/>
      <c r="R75" s="25"/>
      <c r="S75" s="25"/>
      <c r="T75" s="25"/>
      <c r="U75" s="25"/>
      <c r="V75" s="25"/>
      <c r="W75" s="25"/>
      <c r="X75" s="25"/>
      <c r="Y75" s="25"/>
      <c r="Z75" s="25"/>
      <c r="AA75" s="25"/>
      <c r="AB75" s="25"/>
    </row>
    <row r="76" spans="1:28" ht="55.5" customHeight="1">
      <c r="A76" s="14">
        <v>46143</v>
      </c>
      <c r="B76" s="15">
        <v>46169</v>
      </c>
      <c r="C76" s="16" t="s">
        <v>24</v>
      </c>
      <c r="D76" s="16" t="s">
        <v>3</v>
      </c>
      <c r="E76" s="16" t="s">
        <v>10</v>
      </c>
      <c r="F76" s="16" t="s">
        <v>89</v>
      </c>
      <c r="G76" s="33" t="s">
        <v>211</v>
      </c>
      <c r="H76" s="18" t="s">
        <v>212</v>
      </c>
      <c r="I76" s="35" t="s">
        <v>60</v>
      </c>
      <c r="J76" s="20">
        <v>2013</v>
      </c>
      <c r="K76" s="21">
        <v>1641</v>
      </c>
      <c r="L76" s="21">
        <v>530</v>
      </c>
      <c r="M76" s="27">
        <f t="shared" ref="M76:M78" si="2">L76/K76*100</f>
        <v>32.297379646556976</v>
      </c>
      <c r="N76" s="23"/>
      <c r="O76" s="25"/>
      <c r="P76" s="25"/>
      <c r="Q76" s="25"/>
      <c r="R76" s="25"/>
      <c r="S76" s="25"/>
      <c r="T76" s="25"/>
      <c r="U76" s="25"/>
      <c r="V76" s="25"/>
      <c r="W76" s="25"/>
      <c r="X76" s="25"/>
      <c r="Y76" s="25"/>
      <c r="Z76" s="25"/>
      <c r="AA76" s="25"/>
      <c r="AB76" s="25"/>
    </row>
    <row r="77" spans="1:28" ht="55.5" customHeight="1">
      <c r="A77" s="14">
        <v>46143</v>
      </c>
      <c r="B77" s="15">
        <v>46161</v>
      </c>
      <c r="C77" s="16" t="s">
        <v>24</v>
      </c>
      <c r="D77" s="16" t="s">
        <v>3</v>
      </c>
      <c r="E77" s="16" t="s">
        <v>8</v>
      </c>
      <c r="F77" s="16" t="s">
        <v>79</v>
      </c>
      <c r="G77" s="33" t="s">
        <v>205</v>
      </c>
      <c r="H77" s="18" t="s">
        <v>213</v>
      </c>
      <c r="I77" s="35" t="s">
        <v>214</v>
      </c>
      <c r="J77" s="20">
        <v>24748</v>
      </c>
      <c r="K77" s="21">
        <v>19174</v>
      </c>
      <c r="L77" s="21">
        <v>1651</v>
      </c>
      <c r="M77" s="27">
        <f t="shared" si="2"/>
        <v>8.6106185459476379</v>
      </c>
      <c r="N77" s="23"/>
      <c r="O77" s="25"/>
      <c r="P77" s="25"/>
      <c r="Q77" s="25"/>
      <c r="R77" s="25"/>
      <c r="S77" s="25"/>
      <c r="T77" s="25"/>
      <c r="U77" s="25"/>
      <c r="V77" s="25"/>
      <c r="W77" s="25"/>
      <c r="X77" s="25"/>
      <c r="Y77" s="25"/>
      <c r="Z77" s="25"/>
      <c r="AA77" s="25"/>
      <c r="AB77" s="25"/>
    </row>
    <row r="78" spans="1:28" ht="55.5" hidden="1" customHeight="1">
      <c r="A78" s="14">
        <v>46143</v>
      </c>
      <c r="B78" s="15">
        <v>46161</v>
      </c>
      <c r="C78" s="16" t="s">
        <v>24</v>
      </c>
      <c r="D78" s="16" t="s">
        <v>7</v>
      </c>
      <c r="E78" s="16" t="s">
        <v>8</v>
      </c>
      <c r="F78" s="16" t="s">
        <v>79</v>
      </c>
      <c r="G78" s="33" t="s">
        <v>205</v>
      </c>
      <c r="H78" s="18" t="s">
        <v>206</v>
      </c>
      <c r="I78" s="35" t="s">
        <v>215</v>
      </c>
      <c r="J78" s="20">
        <v>4393</v>
      </c>
      <c r="K78" s="21">
        <v>2300</v>
      </c>
      <c r="L78" s="21">
        <v>383</v>
      </c>
      <c r="M78" s="27">
        <f t="shared" si="2"/>
        <v>16.652173913043477</v>
      </c>
      <c r="N78" s="23"/>
      <c r="O78" s="25"/>
      <c r="P78" s="25"/>
      <c r="Q78" s="25"/>
      <c r="R78" s="25"/>
      <c r="S78" s="25"/>
      <c r="T78" s="25"/>
      <c r="U78" s="25"/>
      <c r="V78" s="25"/>
      <c r="W78" s="25"/>
      <c r="X78" s="25"/>
      <c r="Y78" s="25"/>
      <c r="Z78" s="25"/>
      <c r="AA78" s="25"/>
      <c r="AB78" s="25"/>
    </row>
    <row r="79" spans="1:28" ht="55.5" hidden="1" customHeight="1">
      <c r="A79" s="14">
        <v>46143</v>
      </c>
      <c r="B79" s="15">
        <v>46168</v>
      </c>
      <c r="C79" s="16" t="s">
        <v>24</v>
      </c>
      <c r="D79" s="16" t="s">
        <v>9</v>
      </c>
      <c r="E79" s="16" t="s">
        <v>8</v>
      </c>
      <c r="F79" s="16" t="s">
        <v>79</v>
      </c>
      <c r="G79" s="33" t="s">
        <v>205</v>
      </c>
      <c r="H79" s="18" t="s">
        <v>206</v>
      </c>
      <c r="I79" s="35" t="s">
        <v>216</v>
      </c>
      <c r="J79" s="20"/>
      <c r="K79" s="21"/>
      <c r="L79" s="21"/>
      <c r="M79" s="27"/>
      <c r="N79" s="23"/>
      <c r="O79" s="25"/>
      <c r="P79" s="25"/>
      <c r="Q79" s="25"/>
      <c r="R79" s="25"/>
      <c r="S79" s="25"/>
      <c r="T79" s="25"/>
      <c r="U79" s="25"/>
      <c r="V79" s="25"/>
      <c r="W79" s="25"/>
      <c r="X79" s="25"/>
      <c r="Y79" s="25"/>
      <c r="Z79" s="25"/>
      <c r="AA79" s="25"/>
      <c r="AB79" s="25"/>
    </row>
    <row r="80" spans="1:28" ht="15.75" hidden="1" customHeight="1">
      <c r="A80" s="14">
        <v>46174</v>
      </c>
      <c r="B80" s="15">
        <v>46189</v>
      </c>
      <c r="C80" s="16" t="s">
        <v>24</v>
      </c>
      <c r="D80" s="16" t="s">
        <v>5</v>
      </c>
      <c r="E80" s="16" t="s">
        <v>8</v>
      </c>
      <c r="F80" s="16" t="s">
        <v>79</v>
      </c>
      <c r="G80" s="33" t="s">
        <v>217</v>
      </c>
      <c r="H80" s="18" t="s">
        <v>218</v>
      </c>
      <c r="I80" s="17"/>
      <c r="J80" s="20" t="s">
        <v>219</v>
      </c>
      <c r="K80" s="21"/>
      <c r="L80" s="21"/>
      <c r="M80" s="27"/>
      <c r="N80" s="23"/>
      <c r="O80" s="25"/>
      <c r="P80" s="25"/>
      <c r="Q80" s="25"/>
      <c r="R80" s="25"/>
      <c r="S80" s="25"/>
      <c r="T80" s="25"/>
      <c r="U80" s="25"/>
      <c r="V80" s="25"/>
      <c r="W80" s="25"/>
      <c r="X80" s="25"/>
      <c r="Y80" s="25"/>
      <c r="Z80" s="25"/>
      <c r="AA80" s="25"/>
      <c r="AB80" s="25"/>
    </row>
    <row r="81" spans="1:28" ht="55.5" hidden="1" customHeight="1">
      <c r="A81" s="14">
        <v>46174</v>
      </c>
      <c r="B81" s="15">
        <v>46182</v>
      </c>
      <c r="C81" s="16" t="s">
        <v>24</v>
      </c>
      <c r="D81" s="16" t="s">
        <v>5</v>
      </c>
      <c r="E81" s="16" t="s">
        <v>8</v>
      </c>
      <c r="F81" s="16" t="s">
        <v>79</v>
      </c>
      <c r="G81" s="33" t="s">
        <v>220</v>
      </c>
      <c r="H81" s="18" t="s">
        <v>221</v>
      </c>
      <c r="I81" s="17" t="s">
        <v>222</v>
      </c>
      <c r="J81" s="20" t="s">
        <v>219</v>
      </c>
      <c r="K81" s="21"/>
      <c r="L81" s="21"/>
      <c r="M81" s="27"/>
      <c r="N81" s="23"/>
      <c r="O81" s="25"/>
      <c r="P81" s="25"/>
      <c r="Q81" s="25"/>
      <c r="R81" s="25"/>
      <c r="S81" s="25"/>
      <c r="T81" s="25"/>
      <c r="U81" s="25"/>
      <c r="V81" s="25"/>
      <c r="W81" s="25"/>
      <c r="X81" s="25"/>
      <c r="Y81" s="25"/>
      <c r="Z81" s="25"/>
      <c r="AA81" s="25"/>
      <c r="AB81" s="25"/>
    </row>
    <row r="82" spans="1:28" ht="55.5" hidden="1" customHeight="1">
      <c r="A82" s="14">
        <v>46174</v>
      </c>
      <c r="B82" s="15">
        <v>46176</v>
      </c>
      <c r="C82" s="16" t="s">
        <v>24</v>
      </c>
      <c r="D82" s="16" t="s">
        <v>1</v>
      </c>
      <c r="E82" s="16" t="s">
        <v>4</v>
      </c>
      <c r="F82" s="16" t="s">
        <v>35</v>
      </c>
      <c r="G82" s="33" t="s">
        <v>223</v>
      </c>
      <c r="H82" s="18" t="s">
        <v>224</v>
      </c>
      <c r="I82" s="35" t="s">
        <v>225</v>
      </c>
      <c r="J82" s="20"/>
      <c r="K82" s="21"/>
      <c r="L82" s="21"/>
      <c r="M82" s="27"/>
      <c r="N82" s="23"/>
      <c r="O82" s="25"/>
      <c r="P82" s="25"/>
      <c r="Q82" s="25"/>
      <c r="R82" s="25"/>
      <c r="S82" s="25"/>
      <c r="T82" s="25"/>
      <c r="U82" s="25"/>
      <c r="V82" s="25"/>
      <c r="W82" s="25"/>
      <c r="X82" s="25"/>
      <c r="Y82" s="25"/>
      <c r="Z82" s="25"/>
      <c r="AA82" s="25"/>
      <c r="AB82" s="25"/>
    </row>
    <row r="83" spans="1:28" ht="54.75" customHeight="1">
      <c r="C83" s="42"/>
      <c r="D83" s="42"/>
      <c r="E83" s="43"/>
      <c r="F83" s="43"/>
      <c r="G83" s="43"/>
      <c r="H83" s="44"/>
      <c r="I83" s="45"/>
      <c r="J83" s="46"/>
      <c r="M83" s="47"/>
      <c r="N83" s="48"/>
    </row>
    <row r="84" spans="1:28" ht="54.75" customHeight="1">
      <c r="C84" s="42"/>
      <c r="D84" s="42"/>
      <c r="E84" s="43"/>
      <c r="F84" s="43"/>
      <c r="G84" s="43"/>
      <c r="H84" s="44"/>
      <c r="I84" s="45"/>
      <c r="J84" s="46"/>
      <c r="M84" s="47"/>
      <c r="N84" s="48"/>
    </row>
    <row r="85" spans="1:28" ht="54.75" customHeight="1">
      <c r="C85" s="42"/>
      <c r="D85" s="42"/>
      <c r="E85" s="43"/>
      <c r="F85" s="43"/>
      <c r="G85" s="43"/>
      <c r="H85" s="44"/>
      <c r="I85" s="45"/>
      <c r="J85" s="46"/>
      <c r="M85" s="47"/>
      <c r="N85" s="48"/>
    </row>
    <row r="86" spans="1:28" ht="54.75" customHeight="1">
      <c r="C86" s="42"/>
      <c r="D86" s="42"/>
      <c r="E86" s="43"/>
      <c r="F86" s="43"/>
      <c r="G86" s="43"/>
      <c r="H86" s="44"/>
      <c r="I86" s="45"/>
      <c r="J86" s="46"/>
      <c r="M86" s="47"/>
      <c r="N86" s="48"/>
    </row>
    <row r="87" spans="1:28" ht="54.75" customHeight="1">
      <c r="C87" s="42"/>
      <c r="D87" s="42"/>
      <c r="E87" s="43"/>
      <c r="F87" s="43"/>
      <c r="G87" s="43"/>
      <c r="H87" s="44"/>
      <c r="I87" s="45"/>
      <c r="J87" s="46"/>
      <c r="M87" s="47"/>
      <c r="N87" s="48"/>
    </row>
    <row r="88" spans="1:28" ht="54.75" customHeight="1">
      <c r="C88" s="42"/>
      <c r="D88" s="42"/>
      <c r="E88" s="43"/>
      <c r="F88" s="43"/>
      <c r="G88" s="43"/>
      <c r="H88" s="44"/>
      <c r="I88" s="45"/>
      <c r="J88" s="46"/>
      <c r="M88" s="47"/>
      <c r="N88" s="48"/>
    </row>
    <row r="89" spans="1:28" ht="54.75" customHeight="1">
      <c r="C89" s="42"/>
      <c r="D89" s="42"/>
      <c r="E89" s="43"/>
      <c r="F89" s="43"/>
      <c r="G89" s="43"/>
      <c r="H89" s="44"/>
      <c r="I89" s="45"/>
      <c r="J89" s="46"/>
      <c r="M89" s="47"/>
      <c r="N89" s="48"/>
    </row>
    <row r="90" spans="1:28" ht="54.75" customHeight="1">
      <c r="C90" s="42"/>
      <c r="D90" s="42"/>
      <c r="E90" s="43"/>
      <c r="F90" s="43"/>
      <c r="G90" s="43"/>
      <c r="H90" s="44"/>
      <c r="I90" s="45"/>
      <c r="J90" s="46"/>
      <c r="M90" s="47"/>
      <c r="N90" s="48"/>
    </row>
    <row r="91" spans="1:28" ht="54.75" customHeight="1">
      <c r="C91" s="42"/>
      <c r="D91" s="42"/>
      <c r="E91" s="43"/>
      <c r="F91" s="43"/>
      <c r="G91" s="43"/>
      <c r="H91" s="44"/>
      <c r="I91" s="45"/>
      <c r="J91" s="46"/>
      <c r="M91" s="47"/>
      <c r="N91" s="48"/>
    </row>
    <row r="92" spans="1:28" ht="54.75" customHeight="1">
      <c r="C92" s="42"/>
      <c r="D92" s="42"/>
      <c r="E92" s="43"/>
      <c r="F92" s="43"/>
      <c r="G92" s="43"/>
      <c r="H92" s="44"/>
      <c r="I92" s="45"/>
      <c r="J92" s="46"/>
      <c r="M92" s="47"/>
      <c r="N92" s="48"/>
    </row>
    <row r="93" spans="1:28" ht="54.75" customHeight="1">
      <c r="C93" s="42"/>
      <c r="D93" s="42"/>
      <c r="E93" s="43"/>
      <c r="F93" s="43"/>
      <c r="G93" s="43"/>
      <c r="H93" s="44"/>
      <c r="I93" s="45"/>
      <c r="J93" s="46"/>
      <c r="M93" s="47"/>
      <c r="N93" s="48"/>
    </row>
    <row r="94" spans="1:28" ht="54.75" customHeight="1">
      <c r="C94" s="42"/>
      <c r="D94" s="42"/>
      <c r="E94" s="43"/>
      <c r="F94" s="43"/>
      <c r="G94" s="43"/>
      <c r="H94" s="44"/>
      <c r="I94" s="45"/>
      <c r="J94" s="46"/>
      <c r="M94" s="47"/>
      <c r="N94" s="48"/>
    </row>
    <row r="95" spans="1:28" ht="54.75" customHeight="1">
      <c r="C95" s="42"/>
      <c r="D95" s="42"/>
      <c r="E95" s="43"/>
      <c r="F95" s="43"/>
      <c r="G95" s="43"/>
      <c r="H95" s="44"/>
      <c r="I95" s="45"/>
      <c r="J95" s="46"/>
      <c r="M95" s="47"/>
      <c r="N95" s="48"/>
    </row>
    <row r="96" spans="1:28" ht="54.75" customHeight="1">
      <c r="C96" s="42"/>
      <c r="D96" s="42"/>
      <c r="E96" s="43"/>
      <c r="F96" s="43"/>
      <c r="G96" s="43"/>
      <c r="H96" s="44"/>
      <c r="I96" s="45"/>
      <c r="J96" s="46"/>
      <c r="M96" s="47"/>
      <c r="N96" s="48"/>
    </row>
    <row r="97" spans="3:14" ht="54.75" customHeight="1">
      <c r="C97" s="42"/>
      <c r="D97" s="42"/>
      <c r="E97" s="43"/>
      <c r="F97" s="43"/>
      <c r="G97" s="43"/>
      <c r="H97" s="44"/>
      <c r="I97" s="45"/>
      <c r="J97" s="46"/>
      <c r="M97" s="47"/>
      <c r="N97" s="48"/>
    </row>
    <row r="98" spans="3:14" ht="54.75" customHeight="1">
      <c r="C98" s="42"/>
      <c r="D98" s="42"/>
      <c r="E98" s="43"/>
      <c r="F98" s="43"/>
      <c r="G98" s="43"/>
      <c r="H98" s="44"/>
      <c r="I98" s="45"/>
      <c r="J98" s="46"/>
      <c r="M98" s="47"/>
      <c r="N98" s="48"/>
    </row>
    <row r="99" spans="3:14" ht="54.75" customHeight="1">
      <c r="C99" s="42"/>
      <c r="D99" s="42"/>
      <c r="E99" s="43"/>
      <c r="F99" s="43"/>
      <c r="G99" s="43"/>
      <c r="H99" s="44"/>
      <c r="I99" s="45"/>
      <c r="J99" s="46"/>
      <c r="M99" s="47"/>
      <c r="N99" s="48"/>
    </row>
    <row r="100" spans="3:14" ht="54.75" customHeight="1">
      <c r="C100" s="42"/>
      <c r="D100" s="42"/>
      <c r="E100" s="43"/>
      <c r="F100" s="43"/>
      <c r="G100" s="43"/>
      <c r="H100" s="44"/>
      <c r="I100" s="45"/>
      <c r="J100" s="46"/>
      <c r="M100" s="47"/>
      <c r="N100" s="48"/>
    </row>
    <row r="101" spans="3:14" ht="54.75" customHeight="1">
      <c r="C101" s="42"/>
      <c r="D101" s="42"/>
      <c r="E101" s="43"/>
      <c r="F101" s="43"/>
      <c r="G101" s="43"/>
      <c r="H101" s="44"/>
      <c r="I101" s="45"/>
      <c r="J101" s="46"/>
      <c r="M101" s="47"/>
      <c r="N101" s="48"/>
    </row>
    <row r="102" spans="3:14" ht="54.75" customHeight="1">
      <c r="C102" s="42"/>
      <c r="D102" s="42"/>
      <c r="E102" s="43"/>
      <c r="F102" s="43"/>
      <c r="G102" s="43"/>
      <c r="H102" s="44"/>
      <c r="I102" s="45"/>
      <c r="J102" s="46"/>
      <c r="M102" s="47"/>
      <c r="N102" s="48"/>
    </row>
    <row r="103" spans="3:14" ht="54.75" customHeight="1">
      <c r="C103" s="42"/>
      <c r="D103" s="42"/>
      <c r="E103" s="43"/>
      <c r="F103" s="43"/>
      <c r="G103" s="43"/>
      <c r="H103" s="44"/>
      <c r="I103" s="45"/>
      <c r="J103" s="46"/>
      <c r="M103" s="47"/>
      <c r="N103" s="48"/>
    </row>
    <row r="104" spans="3:14" ht="54.75" customHeight="1">
      <c r="C104" s="42"/>
      <c r="D104" s="42"/>
      <c r="E104" s="43"/>
      <c r="F104" s="43"/>
      <c r="G104" s="43"/>
      <c r="H104" s="44"/>
      <c r="I104" s="45"/>
      <c r="J104" s="46"/>
      <c r="M104" s="47"/>
      <c r="N104" s="48"/>
    </row>
    <row r="105" spans="3:14" ht="54.75" customHeight="1">
      <c r="C105" s="42"/>
      <c r="D105" s="42"/>
      <c r="E105" s="43"/>
      <c r="F105" s="43"/>
      <c r="G105" s="43"/>
      <c r="H105" s="44"/>
      <c r="I105" s="45"/>
      <c r="J105" s="46"/>
      <c r="M105" s="47"/>
      <c r="N105" s="48"/>
    </row>
    <row r="106" spans="3:14" ht="54.75" customHeight="1">
      <c r="C106" s="42"/>
      <c r="D106" s="42"/>
      <c r="E106" s="43"/>
      <c r="F106" s="43"/>
      <c r="G106" s="43"/>
      <c r="H106" s="44"/>
      <c r="I106" s="45"/>
      <c r="J106" s="46"/>
      <c r="M106" s="47"/>
      <c r="N106" s="48"/>
    </row>
    <row r="107" spans="3:14" ht="54.75" customHeight="1">
      <c r="C107" s="42"/>
      <c r="D107" s="42"/>
      <c r="E107" s="43"/>
      <c r="F107" s="43"/>
      <c r="G107" s="43"/>
      <c r="H107" s="44"/>
      <c r="I107" s="45"/>
      <c r="J107" s="46"/>
      <c r="M107" s="47"/>
      <c r="N107" s="48"/>
    </row>
    <row r="108" spans="3:14" ht="54.75" customHeight="1">
      <c r="C108" s="42"/>
      <c r="D108" s="42"/>
      <c r="E108" s="43"/>
      <c r="F108" s="43"/>
      <c r="G108" s="43"/>
      <c r="H108" s="44"/>
      <c r="I108" s="45"/>
      <c r="J108" s="46"/>
      <c r="M108" s="47"/>
      <c r="N108" s="48"/>
    </row>
    <row r="109" spans="3:14" ht="54.75" customHeight="1">
      <c r="C109" s="42"/>
      <c r="D109" s="42"/>
      <c r="E109" s="43"/>
      <c r="F109" s="43"/>
      <c r="G109" s="43"/>
      <c r="H109" s="44"/>
      <c r="I109" s="45"/>
      <c r="J109" s="46"/>
      <c r="M109" s="47"/>
      <c r="N109" s="48"/>
    </row>
    <row r="110" spans="3:14" ht="54.75" customHeight="1">
      <c r="C110" s="42"/>
      <c r="D110" s="42"/>
      <c r="E110" s="43"/>
      <c r="F110" s="43"/>
      <c r="G110" s="43"/>
      <c r="H110" s="44"/>
      <c r="I110" s="45"/>
      <c r="J110" s="46"/>
      <c r="M110" s="47"/>
      <c r="N110" s="48"/>
    </row>
    <row r="111" spans="3:14" ht="54.75" customHeight="1">
      <c r="C111" s="42"/>
      <c r="D111" s="42"/>
      <c r="E111" s="43"/>
      <c r="F111" s="43"/>
      <c r="G111" s="43"/>
      <c r="H111" s="44"/>
      <c r="I111" s="45"/>
      <c r="J111" s="46"/>
      <c r="M111" s="47"/>
      <c r="N111" s="48"/>
    </row>
    <row r="112" spans="3:14" ht="54.75" customHeight="1">
      <c r="C112" s="42"/>
      <c r="D112" s="42"/>
      <c r="E112" s="43"/>
      <c r="F112" s="43"/>
      <c r="G112" s="43"/>
      <c r="H112" s="44"/>
      <c r="I112" s="45"/>
      <c r="J112" s="46"/>
      <c r="M112" s="47"/>
      <c r="N112" s="48"/>
    </row>
    <row r="113" spans="3:14" ht="54.75" customHeight="1">
      <c r="C113" s="42"/>
      <c r="D113" s="42"/>
      <c r="E113" s="43"/>
      <c r="F113" s="43"/>
      <c r="G113" s="43"/>
      <c r="H113" s="44"/>
      <c r="I113" s="45"/>
      <c r="J113" s="46"/>
      <c r="M113" s="47"/>
      <c r="N113" s="48"/>
    </row>
    <row r="114" spans="3:14" ht="54.75" customHeight="1">
      <c r="C114" s="42"/>
      <c r="D114" s="42"/>
      <c r="E114" s="43"/>
      <c r="F114" s="43"/>
      <c r="G114" s="43"/>
      <c r="H114" s="44"/>
      <c r="I114" s="45"/>
      <c r="J114" s="46"/>
      <c r="M114" s="47"/>
      <c r="N114" s="48"/>
    </row>
    <row r="115" spans="3:14" ht="54.75" customHeight="1">
      <c r="C115" s="42"/>
      <c r="D115" s="42"/>
      <c r="E115" s="43"/>
      <c r="F115" s="43"/>
      <c r="G115" s="43"/>
      <c r="H115" s="44"/>
      <c r="I115" s="45"/>
      <c r="J115" s="46"/>
      <c r="M115" s="47"/>
      <c r="N115" s="48"/>
    </row>
    <row r="116" spans="3:14" ht="54.75" customHeight="1">
      <c r="C116" s="42"/>
      <c r="D116" s="42"/>
      <c r="E116" s="43"/>
      <c r="F116" s="43"/>
      <c r="G116" s="43"/>
      <c r="H116" s="44"/>
      <c r="I116" s="45"/>
      <c r="J116" s="46"/>
      <c r="M116" s="47"/>
      <c r="N116" s="48"/>
    </row>
    <row r="117" spans="3:14" ht="54.75" customHeight="1">
      <c r="C117" s="42"/>
      <c r="D117" s="42"/>
      <c r="E117" s="43"/>
      <c r="F117" s="43"/>
      <c r="G117" s="43"/>
      <c r="H117" s="44"/>
      <c r="I117" s="45"/>
      <c r="J117" s="46"/>
      <c r="M117" s="47"/>
      <c r="N117" s="48"/>
    </row>
    <row r="118" spans="3:14" ht="54.75" customHeight="1">
      <c r="C118" s="42"/>
      <c r="D118" s="42"/>
      <c r="E118" s="43"/>
      <c r="F118" s="43"/>
      <c r="G118" s="43"/>
      <c r="H118" s="44"/>
      <c r="I118" s="45"/>
      <c r="J118" s="46"/>
      <c r="M118" s="47"/>
      <c r="N118" s="48"/>
    </row>
    <row r="119" spans="3:14" ht="54.75" customHeight="1">
      <c r="C119" s="42"/>
      <c r="D119" s="42"/>
      <c r="E119" s="43"/>
      <c r="F119" s="43"/>
      <c r="G119" s="43"/>
      <c r="H119" s="44"/>
      <c r="I119" s="45"/>
      <c r="J119" s="46"/>
      <c r="M119" s="47"/>
      <c r="N119" s="48"/>
    </row>
    <row r="120" spans="3:14" ht="54.75" customHeight="1">
      <c r="C120" s="42"/>
      <c r="D120" s="42"/>
      <c r="E120" s="43"/>
      <c r="F120" s="43"/>
      <c r="G120" s="43"/>
      <c r="H120" s="44"/>
      <c r="I120" s="45"/>
      <c r="J120" s="46"/>
      <c r="M120" s="47"/>
      <c r="N120" s="48"/>
    </row>
    <row r="121" spans="3:14" ht="54.75" customHeight="1">
      <c r="C121" s="42"/>
      <c r="D121" s="42"/>
      <c r="E121" s="43"/>
      <c r="F121" s="43"/>
      <c r="G121" s="43"/>
      <c r="H121" s="44"/>
      <c r="I121" s="45"/>
      <c r="J121" s="46"/>
      <c r="M121" s="47"/>
      <c r="N121" s="48"/>
    </row>
    <row r="122" spans="3:14" ht="54.75" customHeight="1">
      <c r="C122" s="42"/>
      <c r="D122" s="42"/>
      <c r="E122" s="43"/>
      <c r="F122" s="43"/>
      <c r="G122" s="43"/>
      <c r="H122" s="44"/>
      <c r="I122" s="45"/>
      <c r="J122" s="46"/>
      <c r="M122" s="47"/>
      <c r="N122" s="48"/>
    </row>
    <row r="123" spans="3:14" ht="54.75" customHeight="1">
      <c r="C123" s="42"/>
      <c r="D123" s="42"/>
      <c r="E123" s="43"/>
      <c r="F123" s="43"/>
      <c r="G123" s="43"/>
      <c r="H123" s="44"/>
      <c r="I123" s="45"/>
      <c r="J123" s="46"/>
      <c r="M123" s="47"/>
      <c r="N123" s="48"/>
    </row>
    <row r="124" spans="3:14" ht="54.75" customHeight="1">
      <c r="C124" s="42"/>
      <c r="D124" s="42"/>
      <c r="E124" s="43"/>
      <c r="F124" s="43"/>
      <c r="G124" s="43"/>
      <c r="H124" s="44"/>
      <c r="I124" s="45"/>
      <c r="J124" s="46"/>
      <c r="M124" s="47"/>
      <c r="N124" s="48"/>
    </row>
    <row r="125" spans="3:14" ht="54.75" customHeight="1">
      <c r="C125" s="42"/>
      <c r="D125" s="42"/>
      <c r="E125" s="43"/>
      <c r="F125" s="43"/>
      <c r="G125" s="43"/>
      <c r="H125" s="44"/>
      <c r="I125" s="45"/>
      <c r="J125" s="46"/>
      <c r="M125" s="47"/>
      <c r="N125" s="48"/>
    </row>
    <row r="126" spans="3:14" ht="54.75" customHeight="1">
      <c r="C126" s="42"/>
      <c r="D126" s="42"/>
      <c r="E126" s="43"/>
      <c r="F126" s="43"/>
      <c r="G126" s="43"/>
      <c r="H126" s="44"/>
      <c r="I126" s="45"/>
      <c r="J126" s="46"/>
      <c r="M126" s="47"/>
      <c r="N126" s="48"/>
    </row>
    <row r="127" spans="3:14" ht="54.75" customHeight="1">
      <c r="C127" s="42"/>
      <c r="D127" s="42"/>
      <c r="E127" s="43"/>
      <c r="F127" s="43"/>
      <c r="G127" s="43"/>
      <c r="H127" s="44"/>
      <c r="I127" s="45"/>
      <c r="J127" s="46"/>
      <c r="M127" s="47"/>
      <c r="N127" s="48"/>
    </row>
    <row r="128" spans="3:14" ht="54.75" customHeight="1">
      <c r="C128" s="42"/>
      <c r="D128" s="42"/>
      <c r="E128" s="43"/>
      <c r="F128" s="43"/>
      <c r="G128" s="43"/>
      <c r="H128" s="44"/>
      <c r="I128" s="45"/>
      <c r="J128" s="46"/>
      <c r="M128" s="47"/>
      <c r="N128" s="48"/>
    </row>
    <row r="129" spans="3:14" ht="54.75" customHeight="1">
      <c r="C129" s="42"/>
      <c r="D129" s="42"/>
      <c r="E129" s="43"/>
      <c r="F129" s="43"/>
      <c r="G129" s="43"/>
      <c r="H129" s="44"/>
      <c r="I129" s="45"/>
      <c r="J129" s="46"/>
      <c r="M129" s="47"/>
      <c r="N129" s="48"/>
    </row>
    <row r="130" spans="3:14" ht="54.75" customHeight="1">
      <c r="C130" s="42"/>
      <c r="D130" s="42"/>
      <c r="E130" s="43"/>
      <c r="F130" s="43"/>
      <c r="G130" s="43"/>
      <c r="H130" s="44"/>
      <c r="I130" s="45"/>
      <c r="J130" s="46"/>
      <c r="M130" s="47"/>
      <c r="N130" s="48"/>
    </row>
    <row r="131" spans="3:14" ht="54.75" customHeight="1">
      <c r="C131" s="42"/>
      <c r="D131" s="42"/>
      <c r="E131" s="43"/>
      <c r="F131" s="43"/>
      <c r="G131" s="43"/>
      <c r="H131" s="44"/>
      <c r="I131" s="45"/>
      <c r="J131" s="46"/>
      <c r="M131" s="47"/>
      <c r="N131" s="48"/>
    </row>
    <row r="132" spans="3:14" ht="54.75" customHeight="1">
      <c r="C132" s="42"/>
      <c r="D132" s="42"/>
      <c r="E132" s="43"/>
      <c r="F132" s="43"/>
      <c r="G132" s="43"/>
      <c r="H132" s="44"/>
      <c r="I132" s="45"/>
      <c r="J132" s="46"/>
      <c r="M132" s="47"/>
      <c r="N132" s="48"/>
    </row>
    <row r="133" spans="3:14" ht="54.75" customHeight="1">
      <c r="C133" s="42"/>
      <c r="D133" s="42"/>
      <c r="E133" s="43"/>
      <c r="F133" s="43"/>
      <c r="G133" s="43"/>
      <c r="H133" s="44"/>
      <c r="I133" s="45"/>
      <c r="J133" s="46"/>
      <c r="M133" s="47"/>
      <c r="N133" s="48"/>
    </row>
    <row r="134" spans="3:14" ht="54.75" customHeight="1">
      <c r="C134" s="42"/>
      <c r="D134" s="42"/>
      <c r="E134" s="43"/>
      <c r="F134" s="43"/>
      <c r="G134" s="43"/>
      <c r="H134" s="44"/>
      <c r="I134" s="45"/>
      <c r="J134" s="46"/>
      <c r="M134" s="47"/>
      <c r="N134" s="48"/>
    </row>
    <row r="135" spans="3:14" ht="54.75" customHeight="1">
      <c r="C135" s="42"/>
      <c r="D135" s="42"/>
      <c r="E135" s="43"/>
      <c r="F135" s="43"/>
      <c r="G135" s="43"/>
      <c r="H135" s="44"/>
      <c r="I135" s="45"/>
      <c r="J135" s="46"/>
      <c r="M135" s="47"/>
      <c r="N135" s="48"/>
    </row>
    <row r="136" spans="3:14" ht="54.75" customHeight="1">
      <c r="C136" s="42"/>
      <c r="D136" s="42"/>
      <c r="E136" s="43"/>
      <c r="F136" s="43"/>
      <c r="G136" s="43"/>
      <c r="H136" s="44"/>
      <c r="I136" s="45"/>
      <c r="J136" s="46"/>
      <c r="M136" s="47"/>
      <c r="N136" s="48"/>
    </row>
    <row r="137" spans="3:14" ht="54.75" customHeight="1">
      <c r="C137" s="42"/>
      <c r="D137" s="42"/>
      <c r="E137" s="43"/>
      <c r="F137" s="43"/>
      <c r="G137" s="43"/>
      <c r="H137" s="44"/>
      <c r="I137" s="45"/>
      <c r="J137" s="46"/>
      <c r="M137" s="47"/>
      <c r="N137" s="48"/>
    </row>
    <row r="138" spans="3:14" ht="54.75" customHeight="1">
      <c r="C138" s="42"/>
      <c r="D138" s="42"/>
      <c r="E138" s="43"/>
      <c r="F138" s="43"/>
      <c r="G138" s="43"/>
      <c r="H138" s="44"/>
      <c r="I138" s="45"/>
      <c r="J138" s="46"/>
      <c r="M138" s="47"/>
      <c r="N138" s="48"/>
    </row>
    <row r="139" spans="3:14" ht="54.75" customHeight="1">
      <c r="C139" s="42"/>
      <c r="D139" s="42"/>
      <c r="E139" s="43"/>
      <c r="F139" s="43"/>
      <c r="G139" s="43"/>
      <c r="H139" s="44"/>
      <c r="I139" s="45"/>
      <c r="J139" s="46"/>
      <c r="M139" s="47"/>
      <c r="N139" s="48"/>
    </row>
    <row r="140" spans="3:14" ht="54.75" customHeight="1">
      <c r="C140" s="42"/>
      <c r="D140" s="42"/>
      <c r="E140" s="43"/>
      <c r="F140" s="43"/>
      <c r="G140" s="43"/>
      <c r="H140" s="44"/>
      <c r="I140" s="45"/>
      <c r="J140" s="46"/>
      <c r="M140" s="47"/>
      <c r="N140" s="48"/>
    </row>
    <row r="141" spans="3:14" ht="54.75" customHeight="1">
      <c r="C141" s="42"/>
      <c r="D141" s="42"/>
      <c r="E141" s="43"/>
      <c r="F141" s="43"/>
      <c r="G141" s="43"/>
      <c r="H141" s="44"/>
      <c r="J141" s="46"/>
      <c r="M141" s="47"/>
      <c r="N141" s="48"/>
    </row>
    <row r="142" spans="3:14" ht="54.75" customHeight="1">
      <c r="C142" s="42"/>
      <c r="D142" s="42"/>
      <c r="E142" s="43"/>
      <c r="F142" s="43"/>
      <c r="G142" s="43"/>
      <c r="H142" s="44"/>
      <c r="J142" s="46"/>
      <c r="M142" s="47"/>
      <c r="N142" s="48"/>
    </row>
    <row r="143" spans="3:14" ht="54.75" customHeight="1">
      <c r="C143" s="42"/>
      <c r="D143" s="42"/>
      <c r="E143" s="43"/>
      <c r="F143" s="43"/>
      <c r="G143" s="43"/>
      <c r="H143" s="44"/>
      <c r="J143" s="46"/>
      <c r="M143" s="47"/>
      <c r="N143" s="48"/>
    </row>
    <row r="144" spans="3:14" ht="54.75" customHeight="1">
      <c r="C144" s="42"/>
      <c r="D144" s="42"/>
      <c r="E144" s="43"/>
      <c r="F144" s="43"/>
      <c r="G144" s="43"/>
      <c r="H144" s="44"/>
      <c r="J144" s="46"/>
      <c r="M144" s="47"/>
      <c r="N144" s="48"/>
    </row>
    <row r="145" spans="3:14" ht="54.75" customHeight="1">
      <c r="C145" s="42"/>
      <c r="D145" s="42"/>
      <c r="E145" s="43"/>
      <c r="F145" s="43"/>
      <c r="G145" s="43"/>
      <c r="H145" s="44"/>
      <c r="J145" s="46"/>
      <c r="M145" s="47"/>
      <c r="N145" s="48"/>
    </row>
    <row r="146" spans="3:14" ht="54.75" customHeight="1">
      <c r="C146" s="42"/>
      <c r="D146" s="42"/>
      <c r="E146" s="43"/>
      <c r="F146" s="43"/>
      <c r="G146" s="43"/>
      <c r="H146" s="44"/>
      <c r="J146" s="46"/>
      <c r="M146" s="47"/>
      <c r="N146" s="48"/>
    </row>
    <row r="147" spans="3:14" ht="54.75" customHeight="1">
      <c r="C147" s="42"/>
      <c r="D147" s="42"/>
      <c r="E147" s="43"/>
      <c r="F147" s="43"/>
      <c r="G147" s="43"/>
      <c r="H147" s="44"/>
      <c r="J147" s="46"/>
      <c r="M147" s="47"/>
      <c r="N147" s="48"/>
    </row>
    <row r="148" spans="3:14" ht="54.75" customHeight="1">
      <c r="C148" s="42"/>
      <c r="D148" s="42"/>
      <c r="E148" s="43"/>
      <c r="F148" s="43"/>
      <c r="G148" s="43"/>
      <c r="H148" s="44"/>
      <c r="J148" s="46"/>
      <c r="M148" s="47"/>
      <c r="N148" s="48"/>
    </row>
    <row r="149" spans="3:14" ht="54.75" customHeight="1">
      <c r="C149" s="42"/>
      <c r="D149" s="42"/>
      <c r="E149" s="43"/>
      <c r="F149" s="43"/>
      <c r="G149" s="43"/>
      <c r="H149" s="44"/>
      <c r="J149" s="46"/>
      <c r="M149" s="47"/>
      <c r="N149" s="48"/>
    </row>
    <row r="150" spans="3:14" ht="54.75" customHeight="1">
      <c r="C150" s="42"/>
      <c r="D150" s="42"/>
      <c r="E150" s="43"/>
      <c r="F150" s="43"/>
      <c r="G150" s="43"/>
      <c r="H150" s="44"/>
      <c r="J150" s="46"/>
      <c r="M150" s="47"/>
      <c r="N150" s="48"/>
    </row>
    <row r="151" spans="3:14" ht="54.75" customHeight="1">
      <c r="C151" s="42"/>
      <c r="D151" s="42"/>
      <c r="E151" s="43"/>
      <c r="F151" s="43"/>
      <c r="G151" s="43"/>
      <c r="H151" s="44"/>
      <c r="J151" s="46"/>
      <c r="M151" s="47"/>
      <c r="N151" s="48"/>
    </row>
    <row r="152" spans="3:14" ht="54.75" customHeight="1">
      <c r="C152" s="42"/>
      <c r="D152" s="42"/>
      <c r="E152" s="43"/>
      <c r="F152" s="43"/>
      <c r="G152" s="43"/>
      <c r="H152" s="44"/>
      <c r="J152" s="46"/>
      <c r="M152" s="47"/>
      <c r="N152" s="48"/>
    </row>
    <row r="153" spans="3:14" ht="54.75" customHeight="1">
      <c r="C153" s="42"/>
      <c r="D153" s="42"/>
      <c r="E153" s="43"/>
      <c r="F153" s="43"/>
      <c r="G153" s="43"/>
      <c r="H153" s="44"/>
      <c r="J153" s="46"/>
      <c r="M153" s="47"/>
      <c r="N153" s="48"/>
    </row>
    <row r="154" spans="3:14" ht="54.75" customHeight="1">
      <c r="C154" s="42"/>
      <c r="D154" s="42"/>
      <c r="E154" s="43"/>
      <c r="F154" s="43"/>
      <c r="G154" s="43"/>
      <c r="H154" s="44"/>
      <c r="J154" s="46"/>
      <c r="M154" s="47"/>
      <c r="N154" s="48"/>
    </row>
    <row r="155" spans="3:14" ht="54.75" customHeight="1">
      <c r="C155" s="42"/>
      <c r="D155" s="42"/>
      <c r="E155" s="43"/>
      <c r="F155" s="43"/>
      <c r="G155" s="43"/>
      <c r="H155" s="44"/>
      <c r="J155" s="46"/>
      <c r="M155" s="47"/>
      <c r="N155" s="48"/>
    </row>
    <row r="156" spans="3:14" ht="54.75" customHeight="1">
      <c r="C156" s="42"/>
      <c r="D156" s="42"/>
      <c r="E156" s="43"/>
      <c r="F156" s="43"/>
      <c r="G156" s="43"/>
      <c r="H156" s="44"/>
      <c r="J156" s="46"/>
      <c r="M156" s="47"/>
      <c r="N156" s="48"/>
    </row>
    <row r="157" spans="3:14" ht="54.75" customHeight="1">
      <c r="C157" s="42"/>
      <c r="D157" s="42"/>
      <c r="E157" s="43"/>
      <c r="F157" s="43"/>
      <c r="G157" s="43"/>
      <c r="H157" s="44"/>
      <c r="J157" s="46"/>
      <c r="M157" s="47"/>
      <c r="N157" s="48"/>
    </row>
    <row r="158" spans="3:14" ht="54.75" customHeight="1">
      <c r="C158" s="42"/>
      <c r="D158" s="42"/>
      <c r="E158" s="43"/>
      <c r="F158" s="43"/>
      <c r="G158" s="43"/>
      <c r="H158" s="44"/>
      <c r="J158" s="46"/>
      <c r="M158" s="47"/>
      <c r="N158" s="48"/>
    </row>
    <row r="159" spans="3:14" ht="54.75" customHeight="1">
      <c r="C159" s="42"/>
      <c r="D159" s="42"/>
      <c r="E159" s="43"/>
      <c r="F159" s="43"/>
      <c r="G159" s="43"/>
      <c r="H159" s="44"/>
      <c r="J159" s="46"/>
      <c r="M159" s="47"/>
      <c r="N159" s="48"/>
    </row>
    <row r="160" spans="3:14" ht="54.75" customHeight="1">
      <c r="C160" s="42"/>
      <c r="D160" s="42"/>
      <c r="E160" s="43"/>
      <c r="F160" s="43"/>
      <c r="G160" s="43"/>
      <c r="H160" s="44"/>
      <c r="J160" s="46"/>
      <c r="M160" s="47"/>
      <c r="N160" s="48"/>
    </row>
    <row r="161" spans="3:14" ht="54.75" customHeight="1">
      <c r="C161" s="42"/>
      <c r="D161" s="42"/>
      <c r="E161" s="43"/>
      <c r="F161" s="43"/>
      <c r="G161" s="43"/>
      <c r="H161" s="44"/>
      <c r="J161" s="46"/>
      <c r="M161" s="47"/>
      <c r="N161" s="48"/>
    </row>
    <row r="162" spans="3:14" ht="54.75" customHeight="1">
      <c r="C162" s="42"/>
      <c r="D162" s="42"/>
      <c r="E162" s="43"/>
      <c r="F162" s="43"/>
      <c r="G162" s="43"/>
      <c r="H162" s="44"/>
      <c r="J162" s="46"/>
      <c r="M162" s="47"/>
      <c r="N162" s="48"/>
    </row>
    <row r="163" spans="3:14" ht="54.75" customHeight="1">
      <c r="C163" s="42"/>
      <c r="D163" s="42"/>
      <c r="E163" s="43"/>
      <c r="F163" s="43"/>
      <c r="G163" s="43"/>
      <c r="H163" s="44"/>
      <c r="J163" s="46"/>
      <c r="M163" s="47"/>
      <c r="N163" s="48"/>
    </row>
    <row r="164" spans="3:14" ht="54.75" customHeight="1">
      <c r="C164" s="42"/>
      <c r="D164" s="42"/>
      <c r="E164" s="43"/>
      <c r="F164" s="43"/>
      <c r="G164" s="43"/>
      <c r="H164" s="44"/>
      <c r="J164" s="46"/>
      <c r="M164" s="47"/>
      <c r="N164" s="48"/>
    </row>
    <row r="165" spans="3:14" ht="54.75" customHeight="1">
      <c r="C165" s="42"/>
      <c r="D165" s="42"/>
      <c r="E165" s="43"/>
      <c r="F165" s="43"/>
      <c r="G165" s="43"/>
      <c r="H165" s="44"/>
      <c r="J165" s="46"/>
      <c r="M165" s="47"/>
      <c r="N165" s="48"/>
    </row>
    <row r="166" spans="3:14" ht="54.75" customHeight="1">
      <c r="C166" s="42"/>
      <c r="D166" s="42"/>
      <c r="E166" s="43"/>
      <c r="F166" s="43"/>
      <c r="G166" s="43"/>
      <c r="H166" s="44"/>
      <c r="J166" s="46"/>
      <c r="M166" s="47"/>
      <c r="N166" s="48"/>
    </row>
    <row r="167" spans="3:14" ht="54.75" customHeight="1">
      <c r="C167" s="42"/>
      <c r="D167" s="42"/>
      <c r="E167" s="43"/>
      <c r="F167" s="43"/>
      <c r="G167" s="43"/>
      <c r="H167" s="44"/>
      <c r="J167" s="46"/>
      <c r="M167" s="47"/>
      <c r="N167" s="48"/>
    </row>
    <row r="168" spans="3:14" ht="54.75" customHeight="1">
      <c r="C168" s="42"/>
      <c r="D168" s="42"/>
      <c r="E168" s="43"/>
      <c r="F168" s="43"/>
      <c r="G168" s="43"/>
      <c r="H168" s="44"/>
      <c r="J168" s="46"/>
      <c r="M168" s="47"/>
      <c r="N168" s="48"/>
    </row>
    <row r="169" spans="3:14" ht="54.75" customHeight="1">
      <c r="C169" s="42"/>
      <c r="D169" s="42"/>
      <c r="E169" s="43"/>
      <c r="F169" s="43"/>
      <c r="G169" s="43"/>
      <c r="H169" s="44"/>
      <c r="J169" s="46"/>
      <c r="M169" s="47"/>
      <c r="N169" s="48"/>
    </row>
    <row r="170" spans="3:14" ht="54.75" customHeight="1">
      <c r="C170" s="42"/>
      <c r="D170" s="42"/>
      <c r="E170" s="43"/>
      <c r="F170" s="43"/>
      <c r="G170" s="43"/>
      <c r="H170" s="44"/>
      <c r="J170" s="46"/>
      <c r="M170" s="47"/>
      <c r="N170" s="48"/>
    </row>
    <row r="171" spans="3:14" ht="54.75" customHeight="1">
      <c r="C171" s="42"/>
      <c r="D171" s="42"/>
      <c r="E171" s="43"/>
      <c r="F171" s="43"/>
      <c r="G171" s="43"/>
      <c r="H171" s="44"/>
      <c r="J171" s="46"/>
      <c r="M171" s="47"/>
      <c r="N171" s="48"/>
    </row>
    <row r="172" spans="3:14" ht="54.75" customHeight="1">
      <c r="C172" s="42"/>
      <c r="D172" s="42"/>
      <c r="E172" s="43"/>
      <c r="F172" s="43"/>
      <c r="G172" s="43"/>
      <c r="H172" s="44"/>
      <c r="J172" s="46"/>
      <c r="M172" s="47"/>
      <c r="N172" s="48"/>
    </row>
    <row r="173" spans="3:14" ht="54.75" customHeight="1">
      <c r="C173" s="42"/>
      <c r="D173" s="42"/>
      <c r="E173" s="43"/>
      <c r="F173" s="43"/>
      <c r="G173" s="43"/>
      <c r="H173" s="44"/>
      <c r="J173" s="46"/>
      <c r="M173" s="47"/>
      <c r="N173" s="48"/>
    </row>
    <row r="174" spans="3:14" ht="54.75" customHeight="1">
      <c r="C174" s="42"/>
      <c r="D174" s="42"/>
      <c r="E174" s="43"/>
      <c r="F174" s="43"/>
      <c r="G174" s="43"/>
      <c r="H174" s="44"/>
      <c r="J174" s="46"/>
      <c r="M174" s="47"/>
      <c r="N174" s="48"/>
    </row>
    <row r="175" spans="3:14" ht="54.75" customHeight="1">
      <c r="C175" s="42"/>
      <c r="D175" s="42"/>
      <c r="E175" s="43"/>
      <c r="F175" s="43"/>
      <c r="G175" s="43"/>
      <c r="H175" s="44"/>
      <c r="J175" s="46"/>
      <c r="M175" s="47"/>
      <c r="N175" s="48"/>
    </row>
    <row r="176" spans="3:14" ht="54.75" customHeight="1">
      <c r="C176" s="42"/>
      <c r="D176" s="42"/>
      <c r="E176" s="43"/>
      <c r="F176" s="43"/>
      <c r="G176" s="43"/>
      <c r="H176" s="44"/>
      <c r="J176" s="46"/>
      <c r="M176" s="47"/>
      <c r="N176" s="48"/>
    </row>
    <row r="177" spans="3:14" ht="54.75" customHeight="1">
      <c r="C177" s="42"/>
      <c r="D177" s="42"/>
      <c r="E177" s="43"/>
      <c r="F177" s="43"/>
      <c r="G177" s="43"/>
      <c r="H177" s="44"/>
      <c r="J177" s="46"/>
      <c r="M177" s="47"/>
      <c r="N177" s="48"/>
    </row>
    <row r="178" spans="3:14" ht="54.75" customHeight="1">
      <c r="C178" s="42"/>
      <c r="D178" s="42"/>
      <c r="E178" s="43"/>
      <c r="F178" s="43"/>
      <c r="G178" s="43"/>
      <c r="H178" s="44"/>
      <c r="J178" s="46"/>
      <c r="M178" s="47"/>
      <c r="N178" s="48"/>
    </row>
    <row r="179" spans="3:14" ht="54.75" customHeight="1">
      <c r="C179" s="42"/>
      <c r="D179" s="42"/>
      <c r="E179" s="43"/>
      <c r="F179" s="43"/>
      <c r="G179" s="43"/>
      <c r="H179" s="44"/>
      <c r="J179" s="46"/>
      <c r="M179" s="47"/>
      <c r="N179" s="48"/>
    </row>
    <row r="180" spans="3:14" ht="54.75" customHeight="1">
      <c r="C180" s="42"/>
      <c r="D180" s="42"/>
      <c r="E180" s="43"/>
      <c r="F180" s="43"/>
      <c r="G180" s="43"/>
      <c r="H180" s="44"/>
      <c r="J180" s="46"/>
      <c r="M180" s="47"/>
      <c r="N180" s="48"/>
    </row>
    <row r="181" spans="3:14" ht="54.75" customHeight="1">
      <c r="C181" s="42"/>
      <c r="D181" s="42"/>
      <c r="E181" s="43"/>
      <c r="F181" s="43"/>
      <c r="G181" s="43"/>
      <c r="H181" s="44"/>
      <c r="J181" s="46"/>
      <c r="M181" s="47"/>
      <c r="N181" s="48"/>
    </row>
    <row r="182" spans="3:14" ht="54.75" customHeight="1">
      <c r="C182" s="42"/>
      <c r="D182" s="42"/>
      <c r="E182" s="43"/>
      <c r="F182" s="43"/>
      <c r="G182" s="43"/>
      <c r="H182" s="44"/>
      <c r="J182" s="46"/>
      <c r="M182" s="47"/>
      <c r="N182" s="48"/>
    </row>
    <row r="183" spans="3:14" ht="54.75" customHeight="1">
      <c r="C183" s="42"/>
      <c r="D183" s="42"/>
      <c r="E183" s="43"/>
      <c r="F183" s="43"/>
      <c r="G183" s="43"/>
      <c r="H183" s="44"/>
      <c r="J183" s="46"/>
      <c r="M183" s="47"/>
      <c r="N183" s="48"/>
    </row>
    <row r="184" spans="3:14" ht="54.75" customHeight="1">
      <c r="C184" s="42"/>
      <c r="D184" s="42"/>
      <c r="E184" s="43"/>
      <c r="F184" s="43"/>
      <c r="G184" s="43"/>
      <c r="H184" s="44"/>
      <c r="J184" s="46"/>
      <c r="M184" s="47"/>
      <c r="N184" s="48"/>
    </row>
    <row r="185" spans="3:14" ht="54.75" customHeight="1">
      <c r="C185" s="42"/>
      <c r="D185" s="42"/>
      <c r="E185" s="43"/>
      <c r="F185" s="43"/>
      <c r="G185" s="43"/>
      <c r="H185" s="44"/>
      <c r="J185" s="46"/>
      <c r="M185" s="47"/>
      <c r="N185" s="48"/>
    </row>
    <row r="186" spans="3:14" ht="54.75" customHeight="1">
      <c r="C186" s="42"/>
      <c r="D186" s="42"/>
      <c r="E186" s="43"/>
      <c r="F186" s="43"/>
      <c r="G186" s="43"/>
      <c r="H186" s="44"/>
      <c r="J186" s="46"/>
      <c r="M186" s="47"/>
      <c r="N186" s="48"/>
    </row>
    <row r="187" spans="3:14" ht="54.75" customHeight="1">
      <c r="C187" s="42"/>
      <c r="D187" s="42"/>
      <c r="E187" s="43"/>
      <c r="F187" s="43"/>
      <c r="G187" s="43"/>
      <c r="H187" s="44"/>
      <c r="J187" s="46"/>
      <c r="M187" s="47"/>
      <c r="N187" s="48"/>
    </row>
    <row r="188" spans="3:14" ht="54.75" customHeight="1">
      <c r="C188" s="42"/>
      <c r="D188" s="42"/>
      <c r="E188" s="43"/>
      <c r="F188" s="43"/>
      <c r="G188" s="43"/>
      <c r="H188" s="44"/>
      <c r="J188" s="46"/>
      <c r="M188" s="47"/>
      <c r="N188" s="48"/>
    </row>
    <row r="189" spans="3:14" ht="54.75" customHeight="1">
      <c r="C189" s="42"/>
      <c r="D189" s="42"/>
      <c r="E189" s="43"/>
      <c r="F189" s="43"/>
      <c r="G189" s="43"/>
      <c r="H189" s="44"/>
      <c r="J189" s="46"/>
      <c r="M189" s="47"/>
      <c r="N189" s="48"/>
    </row>
    <row r="190" spans="3:14" ht="54.75" customHeight="1">
      <c r="C190" s="42"/>
      <c r="D190" s="42"/>
      <c r="E190" s="43"/>
      <c r="F190" s="43"/>
      <c r="G190" s="43"/>
      <c r="H190" s="44"/>
      <c r="J190" s="46"/>
      <c r="M190" s="47"/>
      <c r="N190" s="48"/>
    </row>
    <row r="191" spans="3:14" ht="54.75" customHeight="1">
      <c r="C191" s="42"/>
      <c r="D191" s="42"/>
      <c r="E191" s="43"/>
      <c r="F191" s="43"/>
      <c r="G191" s="43"/>
      <c r="H191" s="44"/>
      <c r="J191" s="46"/>
      <c r="M191" s="47"/>
      <c r="N191" s="48"/>
    </row>
    <row r="192" spans="3:14" ht="54.75" customHeight="1">
      <c r="C192" s="42"/>
      <c r="D192" s="42"/>
      <c r="E192" s="43"/>
      <c r="F192" s="43"/>
      <c r="G192" s="43"/>
      <c r="H192" s="44"/>
      <c r="J192" s="46"/>
      <c r="M192" s="47"/>
      <c r="N192" s="48"/>
    </row>
    <row r="193" spans="3:14" ht="54.75" customHeight="1">
      <c r="C193" s="42"/>
      <c r="D193" s="42"/>
      <c r="E193" s="43"/>
      <c r="F193" s="43"/>
      <c r="G193" s="43"/>
      <c r="H193" s="44"/>
      <c r="J193" s="46"/>
      <c r="M193" s="47"/>
      <c r="N193" s="48"/>
    </row>
    <row r="194" spans="3:14" ht="54.75" customHeight="1">
      <c r="C194" s="42"/>
      <c r="D194" s="42"/>
      <c r="E194" s="43"/>
      <c r="F194" s="43"/>
      <c r="G194" s="43"/>
      <c r="H194" s="44"/>
      <c r="J194" s="46"/>
      <c r="M194" s="47"/>
      <c r="N194" s="48"/>
    </row>
    <row r="195" spans="3:14" ht="54.75" customHeight="1">
      <c r="C195" s="42"/>
      <c r="D195" s="42"/>
      <c r="E195" s="43"/>
      <c r="F195" s="43"/>
      <c r="G195" s="43"/>
      <c r="H195" s="44"/>
      <c r="J195" s="46"/>
      <c r="M195" s="47"/>
      <c r="N195" s="48"/>
    </row>
    <row r="196" spans="3:14" ht="54.75" customHeight="1">
      <c r="C196" s="42"/>
      <c r="D196" s="42"/>
      <c r="E196" s="43"/>
      <c r="F196" s="43"/>
      <c r="G196" s="43"/>
      <c r="H196" s="44"/>
      <c r="J196" s="46"/>
      <c r="M196" s="47"/>
      <c r="N196" s="48"/>
    </row>
    <row r="197" spans="3:14" ht="54.75" customHeight="1">
      <c r="C197" s="42"/>
      <c r="D197" s="42"/>
      <c r="E197" s="43"/>
      <c r="F197" s="43"/>
      <c r="G197" s="43"/>
      <c r="H197" s="44"/>
      <c r="J197" s="46"/>
      <c r="M197" s="47"/>
      <c r="N197" s="48"/>
    </row>
    <row r="198" spans="3:14" ht="54.75" customHeight="1">
      <c r="C198" s="42"/>
      <c r="D198" s="42"/>
      <c r="E198" s="43"/>
      <c r="F198" s="43"/>
      <c r="G198" s="43"/>
      <c r="H198" s="44"/>
      <c r="J198" s="46"/>
      <c r="M198" s="47"/>
      <c r="N198" s="48"/>
    </row>
    <row r="199" spans="3:14" ht="54.75" customHeight="1">
      <c r="C199" s="42"/>
      <c r="D199" s="42"/>
      <c r="E199" s="43"/>
      <c r="F199" s="43"/>
      <c r="G199" s="43"/>
      <c r="H199" s="44"/>
      <c r="J199" s="46"/>
      <c r="M199" s="47"/>
      <c r="N199" s="48"/>
    </row>
    <row r="200" spans="3:14" ht="54.75" customHeight="1">
      <c r="C200" s="42"/>
      <c r="D200" s="42"/>
      <c r="E200" s="43"/>
      <c r="F200" s="43"/>
      <c r="G200" s="43"/>
      <c r="H200" s="44"/>
      <c r="J200" s="46"/>
      <c r="M200" s="47"/>
      <c r="N200" s="48"/>
    </row>
    <row r="201" spans="3:14" ht="54.75" customHeight="1">
      <c r="C201" s="42"/>
      <c r="D201" s="42"/>
      <c r="E201" s="43"/>
      <c r="F201" s="43"/>
      <c r="G201" s="43"/>
      <c r="H201" s="44"/>
      <c r="J201" s="46"/>
      <c r="M201" s="47"/>
      <c r="N201" s="48"/>
    </row>
    <row r="202" spans="3:14" ht="54.75" customHeight="1">
      <c r="C202" s="42"/>
      <c r="D202" s="42"/>
      <c r="E202" s="43"/>
      <c r="F202" s="43"/>
      <c r="G202" s="43"/>
      <c r="H202" s="44"/>
      <c r="J202" s="46"/>
      <c r="M202" s="47"/>
      <c r="N202" s="48"/>
    </row>
    <row r="203" spans="3:14" ht="54.75" customHeight="1">
      <c r="C203" s="42"/>
      <c r="D203" s="42"/>
      <c r="E203" s="43"/>
      <c r="F203" s="43"/>
      <c r="G203" s="43"/>
      <c r="H203" s="44"/>
      <c r="J203" s="46"/>
      <c r="M203" s="47"/>
      <c r="N203" s="48"/>
    </row>
    <row r="204" spans="3:14" ht="54.75" customHeight="1">
      <c r="C204" s="42"/>
      <c r="D204" s="42"/>
      <c r="E204" s="43"/>
      <c r="F204" s="43"/>
      <c r="G204" s="43"/>
      <c r="H204" s="44"/>
      <c r="J204" s="46"/>
      <c r="M204" s="47"/>
      <c r="N204" s="48"/>
    </row>
    <row r="205" spans="3:14" ht="54.75" customHeight="1">
      <c r="C205" s="42"/>
      <c r="D205" s="42"/>
      <c r="E205" s="43"/>
      <c r="F205" s="43"/>
      <c r="G205" s="43"/>
      <c r="H205" s="44"/>
      <c r="J205" s="46"/>
      <c r="M205" s="47"/>
      <c r="N205" s="48"/>
    </row>
    <row r="206" spans="3:14" ht="54.75" customHeight="1">
      <c r="C206" s="42"/>
      <c r="D206" s="42"/>
      <c r="E206" s="43"/>
      <c r="F206" s="43"/>
      <c r="G206" s="43"/>
      <c r="H206" s="44"/>
      <c r="J206" s="46"/>
      <c r="M206" s="47"/>
      <c r="N206" s="48"/>
    </row>
    <row r="207" spans="3:14" ht="54.75" customHeight="1">
      <c r="C207" s="42"/>
      <c r="D207" s="42"/>
      <c r="E207" s="43"/>
      <c r="F207" s="43"/>
      <c r="G207" s="43"/>
      <c r="H207" s="44"/>
      <c r="J207" s="46"/>
      <c r="M207" s="47"/>
      <c r="N207" s="48"/>
    </row>
    <row r="208" spans="3:14" ht="54.75" customHeight="1">
      <c r="C208" s="42"/>
      <c r="D208" s="42"/>
      <c r="E208" s="43"/>
      <c r="F208" s="43"/>
      <c r="G208" s="43"/>
      <c r="H208" s="44"/>
      <c r="J208" s="46"/>
      <c r="M208" s="47"/>
      <c r="N208" s="48"/>
    </row>
    <row r="209" spans="3:14" ht="54.75" customHeight="1">
      <c r="C209" s="42"/>
      <c r="D209" s="42"/>
      <c r="E209" s="43"/>
      <c r="F209" s="43"/>
      <c r="G209" s="43"/>
      <c r="H209" s="44"/>
      <c r="J209" s="46"/>
      <c r="M209" s="47"/>
      <c r="N209" s="48"/>
    </row>
    <row r="210" spans="3:14" ht="54.75" customHeight="1">
      <c r="C210" s="42"/>
      <c r="D210" s="42"/>
      <c r="E210" s="43"/>
      <c r="F210" s="43"/>
      <c r="G210" s="43"/>
      <c r="H210" s="44"/>
      <c r="J210" s="46"/>
      <c r="M210" s="47"/>
      <c r="N210" s="48"/>
    </row>
    <row r="211" spans="3:14" ht="54.75" customHeight="1">
      <c r="C211" s="42"/>
      <c r="D211" s="42"/>
      <c r="E211" s="43"/>
      <c r="F211" s="43"/>
      <c r="G211" s="43"/>
      <c r="H211" s="44"/>
      <c r="J211" s="46"/>
      <c r="M211" s="47"/>
      <c r="N211" s="48"/>
    </row>
    <row r="212" spans="3:14" ht="54.75" customHeight="1">
      <c r="C212" s="42"/>
      <c r="D212" s="42"/>
      <c r="E212" s="43"/>
      <c r="F212" s="43"/>
      <c r="G212" s="43"/>
      <c r="H212" s="44"/>
      <c r="J212" s="46"/>
      <c r="M212" s="47"/>
      <c r="N212" s="48"/>
    </row>
    <row r="213" spans="3:14" ht="54.75" customHeight="1">
      <c r="C213" s="42"/>
      <c r="D213" s="42"/>
      <c r="E213" s="43"/>
      <c r="F213" s="43"/>
      <c r="G213" s="43"/>
      <c r="H213" s="44"/>
      <c r="J213" s="46"/>
      <c r="M213" s="47"/>
      <c r="N213" s="48"/>
    </row>
    <row r="214" spans="3:14" ht="54.75" customHeight="1">
      <c r="C214" s="42"/>
      <c r="D214" s="42"/>
      <c r="E214" s="43"/>
      <c r="F214" s="43"/>
      <c r="G214" s="43"/>
      <c r="H214" s="44"/>
      <c r="J214" s="46"/>
      <c r="M214" s="47"/>
      <c r="N214" s="48"/>
    </row>
    <row r="215" spans="3:14" ht="54.75" customHeight="1">
      <c r="C215" s="42"/>
      <c r="D215" s="42"/>
      <c r="E215" s="43"/>
      <c r="F215" s="43"/>
      <c r="G215" s="43"/>
      <c r="H215" s="44"/>
      <c r="J215" s="46"/>
      <c r="M215" s="47"/>
      <c r="N215" s="48"/>
    </row>
    <row r="216" spans="3:14" ht="54.75" customHeight="1">
      <c r="C216" s="42"/>
      <c r="D216" s="42"/>
      <c r="E216" s="43"/>
      <c r="F216" s="43"/>
      <c r="G216" s="43"/>
      <c r="H216" s="44"/>
      <c r="J216" s="46"/>
      <c r="M216" s="47"/>
      <c r="N216" s="48"/>
    </row>
    <row r="217" spans="3:14" ht="54.75" customHeight="1">
      <c r="C217" s="42"/>
      <c r="D217" s="42"/>
      <c r="E217" s="43"/>
      <c r="F217" s="43"/>
      <c r="G217" s="43"/>
      <c r="H217" s="44"/>
      <c r="J217" s="46"/>
      <c r="M217" s="47"/>
      <c r="N217" s="48"/>
    </row>
    <row r="218" spans="3:14" ht="54.75" customHeight="1">
      <c r="C218" s="42"/>
      <c r="D218" s="42"/>
      <c r="E218" s="43"/>
      <c r="F218" s="43"/>
      <c r="G218" s="43"/>
      <c r="H218" s="44"/>
      <c r="J218" s="46"/>
      <c r="M218" s="47"/>
      <c r="N218" s="48"/>
    </row>
    <row r="219" spans="3:14" ht="54.75" customHeight="1">
      <c r="C219" s="42"/>
      <c r="D219" s="42"/>
      <c r="E219" s="43"/>
      <c r="F219" s="43"/>
      <c r="G219" s="43"/>
      <c r="H219" s="44"/>
      <c r="J219" s="46"/>
      <c r="M219" s="47"/>
      <c r="N219" s="48"/>
    </row>
    <row r="220" spans="3:14" ht="54.75" customHeight="1">
      <c r="C220" s="42"/>
      <c r="D220" s="42"/>
      <c r="E220" s="43"/>
      <c r="F220" s="43"/>
      <c r="G220" s="43"/>
      <c r="H220" s="44"/>
      <c r="J220" s="46"/>
      <c r="M220" s="47"/>
      <c r="N220" s="48"/>
    </row>
    <row r="221" spans="3:14" ht="54.75" customHeight="1">
      <c r="C221" s="42"/>
      <c r="D221" s="42"/>
      <c r="E221" s="43"/>
      <c r="F221" s="43"/>
      <c r="G221" s="43"/>
      <c r="H221" s="44"/>
      <c r="J221" s="46"/>
      <c r="M221" s="47"/>
      <c r="N221" s="48"/>
    </row>
    <row r="222" spans="3:14" ht="54.75" customHeight="1">
      <c r="C222" s="42"/>
      <c r="D222" s="42"/>
      <c r="E222" s="43"/>
      <c r="F222" s="43"/>
      <c r="G222" s="43"/>
      <c r="H222" s="44"/>
      <c r="J222" s="46"/>
      <c r="M222" s="47"/>
      <c r="N222" s="48"/>
    </row>
    <row r="223" spans="3:14" ht="54.75" customHeight="1">
      <c r="C223" s="42"/>
      <c r="D223" s="42"/>
      <c r="E223" s="43"/>
      <c r="F223" s="43"/>
      <c r="G223" s="43"/>
      <c r="H223" s="44"/>
      <c r="J223" s="46"/>
      <c r="M223" s="47"/>
      <c r="N223" s="48"/>
    </row>
    <row r="224" spans="3:14" ht="54.75" customHeight="1">
      <c r="C224" s="42"/>
      <c r="D224" s="42"/>
      <c r="E224" s="43"/>
      <c r="F224" s="43"/>
      <c r="G224" s="43"/>
      <c r="H224" s="44"/>
      <c r="J224" s="46"/>
      <c r="M224" s="47"/>
      <c r="N224" s="48"/>
    </row>
    <row r="225" spans="3:14" ht="54.75" customHeight="1">
      <c r="C225" s="42"/>
      <c r="D225" s="42"/>
      <c r="E225" s="43"/>
      <c r="F225" s="43"/>
      <c r="G225" s="43"/>
      <c r="H225" s="44"/>
      <c r="J225" s="46"/>
      <c r="M225" s="47"/>
      <c r="N225" s="48"/>
    </row>
    <row r="226" spans="3:14" ht="54.75" customHeight="1">
      <c r="C226" s="42"/>
      <c r="D226" s="42"/>
      <c r="E226" s="43"/>
      <c r="F226" s="43"/>
      <c r="G226" s="43"/>
      <c r="H226" s="44"/>
      <c r="J226" s="46"/>
      <c r="M226" s="47"/>
      <c r="N226" s="48"/>
    </row>
    <row r="227" spans="3:14" ht="54.75" customHeight="1">
      <c r="C227" s="42"/>
      <c r="D227" s="42"/>
      <c r="E227" s="43"/>
      <c r="F227" s="43"/>
      <c r="G227" s="43"/>
      <c r="H227" s="44"/>
      <c r="J227" s="46"/>
      <c r="M227" s="47"/>
      <c r="N227" s="48"/>
    </row>
    <row r="228" spans="3:14" ht="54.75" customHeight="1">
      <c r="C228" s="42"/>
      <c r="D228" s="42"/>
      <c r="E228" s="43"/>
      <c r="F228" s="43"/>
      <c r="G228" s="43"/>
      <c r="H228" s="44"/>
      <c r="J228" s="46"/>
      <c r="M228" s="47"/>
      <c r="N228" s="48"/>
    </row>
    <row r="229" spans="3:14" ht="54.75" customHeight="1">
      <c r="C229" s="42"/>
      <c r="D229" s="42"/>
      <c r="E229" s="43"/>
      <c r="F229" s="43"/>
      <c r="G229" s="43"/>
      <c r="H229" s="44"/>
      <c r="J229" s="46"/>
      <c r="M229" s="47"/>
      <c r="N229" s="48"/>
    </row>
    <row r="230" spans="3:14" ht="54.75" customHeight="1">
      <c r="C230" s="42"/>
      <c r="D230" s="42"/>
      <c r="E230" s="43"/>
      <c r="F230" s="43"/>
      <c r="G230" s="43"/>
      <c r="H230" s="44"/>
      <c r="J230" s="46"/>
      <c r="M230" s="47"/>
      <c r="N230" s="48"/>
    </row>
    <row r="231" spans="3:14" ht="54.75" customHeight="1">
      <c r="C231" s="42"/>
      <c r="D231" s="42"/>
      <c r="E231" s="43"/>
      <c r="F231" s="43"/>
      <c r="G231" s="43"/>
      <c r="H231" s="44"/>
      <c r="J231" s="46"/>
      <c r="M231" s="47"/>
      <c r="N231" s="48"/>
    </row>
    <row r="232" spans="3:14" ht="54.75" customHeight="1">
      <c r="C232" s="42"/>
      <c r="D232" s="42"/>
      <c r="E232" s="43"/>
      <c r="F232" s="43"/>
      <c r="G232" s="43"/>
      <c r="H232" s="44"/>
      <c r="J232" s="46"/>
      <c r="M232" s="47"/>
      <c r="N232" s="48"/>
    </row>
    <row r="233" spans="3:14" ht="54.75" customHeight="1">
      <c r="C233" s="42"/>
      <c r="D233" s="42"/>
      <c r="E233" s="43"/>
      <c r="F233" s="43"/>
      <c r="G233" s="43"/>
      <c r="H233" s="44"/>
      <c r="J233" s="46"/>
      <c r="M233" s="47"/>
      <c r="N233" s="48"/>
    </row>
    <row r="234" spans="3:14" ht="54.75" customHeight="1">
      <c r="C234" s="42"/>
      <c r="D234" s="42"/>
      <c r="E234" s="43"/>
      <c r="F234" s="43"/>
      <c r="G234" s="43"/>
      <c r="H234" s="44"/>
      <c r="J234" s="46"/>
      <c r="M234" s="47"/>
      <c r="N234" s="48"/>
    </row>
    <row r="235" spans="3:14" ht="54.75" customHeight="1">
      <c r="C235" s="42"/>
      <c r="D235" s="42"/>
      <c r="E235" s="43"/>
      <c r="F235" s="43"/>
      <c r="G235" s="43"/>
      <c r="H235" s="44"/>
      <c r="J235" s="46"/>
      <c r="M235" s="47"/>
      <c r="N235" s="48"/>
    </row>
    <row r="236" spans="3:14" ht="54.75" customHeight="1">
      <c r="C236" s="42"/>
      <c r="D236" s="42"/>
      <c r="E236" s="43"/>
      <c r="F236" s="43"/>
      <c r="G236" s="43"/>
      <c r="H236" s="44"/>
      <c r="J236" s="46"/>
      <c r="M236" s="47"/>
      <c r="N236" s="48"/>
    </row>
    <row r="237" spans="3:14" ht="54.75" customHeight="1">
      <c r="C237" s="42"/>
      <c r="D237" s="42"/>
      <c r="E237" s="43"/>
      <c r="F237" s="43"/>
      <c r="G237" s="43"/>
      <c r="H237" s="44"/>
      <c r="J237" s="46"/>
      <c r="M237" s="47"/>
      <c r="N237" s="48"/>
    </row>
    <row r="238" spans="3:14" ht="54.75" customHeight="1">
      <c r="C238" s="42"/>
      <c r="D238" s="42"/>
      <c r="E238" s="43"/>
      <c r="F238" s="43"/>
      <c r="G238" s="43"/>
      <c r="H238" s="44"/>
      <c r="J238" s="46"/>
      <c r="M238" s="47"/>
      <c r="N238" s="48"/>
    </row>
    <row r="239" spans="3:14" ht="54.75" customHeight="1">
      <c r="C239" s="42"/>
      <c r="D239" s="42"/>
      <c r="E239" s="43"/>
      <c r="F239" s="43"/>
      <c r="G239" s="43"/>
      <c r="H239" s="44"/>
      <c r="J239" s="46"/>
      <c r="M239" s="47"/>
      <c r="N239" s="48"/>
    </row>
    <row r="240" spans="3:14" ht="54.75" customHeight="1">
      <c r="C240" s="42"/>
      <c r="D240" s="42"/>
      <c r="E240" s="43"/>
      <c r="F240" s="43"/>
      <c r="G240" s="43"/>
      <c r="H240" s="44"/>
      <c r="J240" s="46"/>
      <c r="M240" s="47"/>
      <c r="N240" s="48"/>
    </row>
    <row r="241" spans="3:14" ht="54.75" customHeight="1">
      <c r="C241" s="42"/>
      <c r="D241" s="42"/>
      <c r="E241" s="43"/>
      <c r="F241" s="43"/>
      <c r="G241" s="43"/>
      <c r="H241" s="44"/>
      <c r="J241" s="46"/>
      <c r="M241" s="47"/>
      <c r="N241" s="48"/>
    </row>
    <row r="242" spans="3:14" ht="54.75" customHeight="1">
      <c r="C242" s="42"/>
      <c r="D242" s="42"/>
      <c r="E242" s="43"/>
      <c r="F242" s="43"/>
      <c r="G242" s="43"/>
      <c r="H242" s="44"/>
      <c r="J242" s="46"/>
      <c r="M242" s="47"/>
      <c r="N242" s="48"/>
    </row>
    <row r="243" spans="3:14" ht="54.75" customHeight="1">
      <c r="C243" s="42"/>
      <c r="D243" s="42"/>
      <c r="E243" s="43"/>
      <c r="F243" s="43"/>
      <c r="G243" s="43"/>
      <c r="H243" s="44"/>
      <c r="J243" s="46"/>
      <c r="M243" s="47"/>
      <c r="N243" s="48"/>
    </row>
    <row r="244" spans="3:14" ht="54.75" customHeight="1">
      <c r="C244" s="42"/>
      <c r="D244" s="42"/>
      <c r="E244" s="43"/>
      <c r="F244" s="43"/>
      <c r="G244" s="43"/>
      <c r="H244" s="44"/>
      <c r="J244" s="46"/>
      <c r="M244" s="47"/>
      <c r="N244" s="48"/>
    </row>
    <row r="245" spans="3:14" ht="54.75" customHeight="1">
      <c r="C245" s="42"/>
      <c r="D245" s="42"/>
      <c r="E245" s="43"/>
      <c r="F245" s="43"/>
      <c r="G245" s="43"/>
      <c r="H245" s="44"/>
      <c r="J245" s="46"/>
      <c r="M245" s="47"/>
      <c r="N245" s="48"/>
    </row>
    <row r="246" spans="3:14" ht="54.75" customHeight="1">
      <c r="C246" s="42"/>
      <c r="D246" s="42"/>
      <c r="E246" s="43"/>
      <c r="F246" s="43"/>
      <c r="G246" s="43"/>
      <c r="H246" s="44"/>
      <c r="J246" s="46"/>
      <c r="M246" s="47"/>
      <c r="N246" s="48"/>
    </row>
    <row r="247" spans="3:14" ht="54.75" customHeight="1">
      <c r="C247" s="42"/>
      <c r="D247" s="42"/>
      <c r="E247" s="43"/>
      <c r="F247" s="43"/>
      <c r="G247" s="43"/>
      <c r="H247" s="44"/>
      <c r="J247" s="46"/>
      <c r="M247" s="47"/>
      <c r="N247" s="48"/>
    </row>
    <row r="248" spans="3:14" ht="54.75" customHeight="1">
      <c r="C248" s="42"/>
      <c r="D248" s="42"/>
      <c r="E248" s="43"/>
      <c r="F248" s="43"/>
      <c r="G248" s="43"/>
      <c r="H248" s="44"/>
      <c r="J248" s="46"/>
      <c r="M248" s="47"/>
      <c r="N248" s="48"/>
    </row>
    <row r="249" spans="3:14" ht="54.75" customHeight="1">
      <c r="C249" s="42"/>
      <c r="D249" s="42"/>
      <c r="E249" s="43"/>
      <c r="F249" s="43"/>
      <c r="G249" s="43"/>
      <c r="H249" s="44"/>
      <c r="J249" s="46"/>
      <c r="M249" s="47"/>
      <c r="N249" s="48"/>
    </row>
    <row r="250" spans="3:14" ht="54.75" customHeight="1">
      <c r="C250" s="42"/>
      <c r="D250" s="42"/>
      <c r="E250" s="43"/>
      <c r="F250" s="43"/>
      <c r="G250" s="43"/>
      <c r="H250" s="44"/>
      <c r="J250" s="46"/>
      <c r="M250" s="47"/>
      <c r="N250" s="48"/>
    </row>
    <row r="251" spans="3:14" ht="54.75" customHeight="1">
      <c r="C251" s="42"/>
      <c r="D251" s="42"/>
      <c r="E251" s="43"/>
      <c r="F251" s="43"/>
      <c r="G251" s="43"/>
      <c r="H251" s="44"/>
      <c r="J251" s="46"/>
      <c r="M251" s="47"/>
      <c r="N251" s="48"/>
    </row>
    <row r="252" spans="3:14" ht="54.75" customHeight="1">
      <c r="C252" s="42"/>
      <c r="D252" s="42"/>
      <c r="E252" s="43"/>
      <c r="F252" s="43"/>
      <c r="G252" s="43"/>
      <c r="H252" s="44"/>
      <c r="J252" s="46"/>
      <c r="M252" s="47"/>
      <c r="N252" s="48"/>
    </row>
    <row r="253" spans="3:14" ht="54.75" customHeight="1">
      <c r="C253" s="42"/>
      <c r="D253" s="42"/>
      <c r="E253" s="43"/>
      <c r="F253" s="43"/>
      <c r="G253" s="43"/>
      <c r="H253" s="44"/>
      <c r="J253" s="46"/>
      <c r="M253" s="47"/>
      <c r="N253" s="48"/>
    </row>
    <row r="254" spans="3:14" ht="54.75" customHeight="1">
      <c r="C254" s="42"/>
      <c r="D254" s="42"/>
      <c r="E254" s="43"/>
      <c r="F254" s="43"/>
      <c r="G254" s="43"/>
      <c r="H254" s="44"/>
      <c r="J254" s="46"/>
      <c r="M254" s="47"/>
      <c r="N254" s="48"/>
    </row>
    <row r="255" spans="3:14" ht="54.75" customHeight="1">
      <c r="C255" s="42"/>
      <c r="D255" s="42"/>
      <c r="E255" s="43"/>
      <c r="F255" s="43"/>
      <c r="G255" s="43"/>
      <c r="H255" s="44"/>
      <c r="J255" s="46"/>
      <c r="M255" s="47"/>
      <c r="N255" s="48"/>
    </row>
    <row r="256" spans="3:14" ht="54.75" customHeight="1">
      <c r="C256" s="42"/>
      <c r="D256" s="42"/>
      <c r="E256" s="43"/>
      <c r="F256" s="43"/>
      <c r="G256" s="43"/>
      <c r="H256" s="44"/>
      <c r="J256" s="46"/>
      <c r="M256" s="47"/>
      <c r="N256" s="48"/>
    </row>
    <row r="257" spans="3:14" ht="54.75" customHeight="1">
      <c r="C257" s="42"/>
      <c r="D257" s="42"/>
      <c r="E257" s="43"/>
      <c r="F257" s="43"/>
      <c r="G257" s="43"/>
      <c r="H257" s="44"/>
      <c r="J257" s="46"/>
      <c r="M257" s="47"/>
      <c r="N257" s="48"/>
    </row>
    <row r="258" spans="3:14" ht="54.75" customHeight="1">
      <c r="C258" s="42"/>
      <c r="D258" s="42"/>
      <c r="E258" s="43"/>
      <c r="F258" s="43"/>
      <c r="G258" s="43"/>
      <c r="H258" s="44"/>
      <c r="J258" s="46"/>
      <c r="M258" s="47"/>
      <c r="N258" s="48"/>
    </row>
    <row r="259" spans="3:14" ht="54.75" customHeight="1">
      <c r="C259" s="42"/>
      <c r="D259" s="42"/>
      <c r="E259" s="43"/>
      <c r="F259" s="43"/>
      <c r="G259" s="43"/>
      <c r="H259" s="44"/>
      <c r="J259" s="46"/>
      <c r="M259" s="47"/>
      <c r="N259" s="48"/>
    </row>
    <row r="260" spans="3:14" ht="54.75" customHeight="1">
      <c r="C260" s="42"/>
      <c r="D260" s="42"/>
      <c r="E260" s="43"/>
      <c r="F260" s="43"/>
      <c r="G260" s="43"/>
      <c r="H260" s="44"/>
      <c r="J260" s="46"/>
      <c r="M260" s="47"/>
      <c r="N260" s="48"/>
    </row>
    <row r="261" spans="3:14" ht="54.75" customHeight="1">
      <c r="C261" s="42"/>
      <c r="D261" s="42"/>
      <c r="E261" s="43"/>
      <c r="F261" s="43"/>
      <c r="G261" s="43"/>
      <c r="H261" s="44"/>
      <c r="J261" s="46"/>
      <c r="M261" s="47"/>
      <c r="N261" s="48"/>
    </row>
    <row r="262" spans="3:14" ht="54.75" customHeight="1">
      <c r="C262" s="42"/>
      <c r="D262" s="42"/>
      <c r="E262" s="43"/>
      <c r="F262" s="43"/>
      <c r="G262" s="43"/>
      <c r="H262" s="44"/>
      <c r="J262" s="46"/>
      <c r="M262" s="47"/>
      <c r="N262" s="48"/>
    </row>
    <row r="263" spans="3:14" ht="54.75" customHeight="1">
      <c r="C263" s="42"/>
      <c r="D263" s="42"/>
      <c r="E263" s="43"/>
      <c r="F263" s="43"/>
      <c r="G263" s="43"/>
      <c r="H263" s="44"/>
      <c r="J263" s="46"/>
      <c r="M263" s="47"/>
      <c r="N263" s="48"/>
    </row>
    <row r="264" spans="3:14" ht="54.75" customHeight="1">
      <c r="C264" s="42"/>
      <c r="D264" s="42"/>
      <c r="E264" s="43"/>
      <c r="F264" s="43"/>
      <c r="G264" s="43"/>
      <c r="H264" s="44"/>
      <c r="J264" s="46"/>
      <c r="M264" s="47"/>
      <c r="N264" s="48"/>
    </row>
    <row r="265" spans="3:14" ht="54.75" customHeight="1">
      <c r="C265" s="42"/>
      <c r="D265" s="42"/>
      <c r="E265" s="43"/>
      <c r="F265" s="43"/>
      <c r="G265" s="43"/>
      <c r="H265" s="44"/>
      <c r="J265" s="46"/>
      <c r="M265" s="47"/>
      <c r="N265" s="48"/>
    </row>
    <row r="266" spans="3:14" ht="54.75" customHeight="1">
      <c r="C266" s="42"/>
      <c r="D266" s="42"/>
      <c r="E266" s="43"/>
      <c r="F266" s="43"/>
      <c r="G266" s="43"/>
      <c r="H266" s="44"/>
      <c r="J266" s="46"/>
      <c r="M266" s="47"/>
      <c r="N266" s="48"/>
    </row>
    <row r="267" spans="3:14" ht="54.75" customHeight="1">
      <c r="C267" s="42"/>
      <c r="D267" s="42"/>
      <c r="E267" s="43"/>
      <c r="F267" s="43"/>
      <c r="G267" s="43"/>
      <c r="H267" s="44"/>
      <c r="J267" s="46"/>
      <c r="M267" s="47"/>
      <c r="N267" s="48"/>
    </row>
    <row r="268" spans="3:14" ht="54.75" customHeight="1">
      <c r="C268" s="42"/>
      <c r="D268" s="42"/>
      <c r="E268" s="43"/>
      <c r="F268" s="43"/>
      <c r="G268" s="43"/>
      <c r="H268" s="44"/>
      <c r="J268" s="46"/>
      <c r="M268" s="47"/>
      <c r="N268" s="48"/>
    </row>
    <row r="269" spans="3:14" ht="54.75" customHeight="1">
      <c r="C269" s="42"/>
      <c r="D269" s="42"/>
      <c r="E269" s="43"/>
      <c r="F269" s="43"/>
      <c r="G269" s="43"/>
      <c r="H269" s="44"/>
      <c r="J269" s="46"/>
      <c r="M269" s="47"/>
      <c r="N269" s="48"/>
    </row>
    <row r="270" spans="3:14" ht="54.75" customHeight="1">
      <c r="C270" s="42"/>
      <c r="D270" s="42"/>
      <c r="E270" s="43"/>
      <c r="F270" s="43"/>
      <c r="G270" s="43"/>
      <c r="H270" s="44"/>
      <c r="J270" s="46"/>
      <c r="M270" s="47"/>
      <c r="N270" s="48"/>
    </row>
    <row r="271" spans="3:14" ht="54.75" customHeight="1">
      <c r="C271" s="42"/>
      <c r="D271" s="42"/>
      <c r="E271" s="43"/>
      <c r="F271" s="43"/>
      <c r="G271" s="43"/>
      <c r="H271" s="44"/>
      <c r="J271" s="46"/>
      <c r="M271" s="47"/>
      <c r="N271" s="48"/>
    </row>
    <row r="272" spans="3:14" ht="54.75" customHeight="1">
      <c r="C272" s="42"/>
      <c r="D272" s="42"/>
      <c r="E272" s="43"/>
      <c r="F272" s="43"/>
      <c r="G272" s="43"/>
      <c r="H272" s="44"/>
      <c r="J272" s="46"/>
      <c r="M272" s="47"/>
      <c r="N272" s="48"/>
    </row>
    <row r="273" spans="3:14" ht="54.75" customHeight="1">
      <c r="C273" s="42"/>
      <c r="D273" s="42"/>
      <c r="E273" s="43"/>
      <c r="F273" s="43"/>
      <c r="G273" s="43"/>
      <c r="H273" s="44"/>
      <c r="J273" s="46"/>
      <c r="M273" s="47"/>
      <c r="N273" s="48"/>
    </row>
    <row r="274" spans="3:14" ht="54.75" customHeight="1">
      <c r="C274" s="42"/>
      <c r="D274" s="42"/>
      <c r="E274" s="43"/>
      <c r="F274" s="43"/>
      <c r="G274" s="43"/>
      <c r="H274" s="44"/>
      <c r="J274" s="46"/>
      <c r="M274" s="47"/>
      <c r="N274" s="48"/>
    </row>
    <row r="275" spans="3:14" ht="54.75" customHeight="1">
      <c r="C275" s="42"/>
      <c r="D275" s="42"/>
      <c r="E275" s="43"/>
      <c r="F275" s="43"/>
      <c r="G275" s="43"/>
      <c r="H275" s="44"/>
      <c r="J275" s="46"/>
      <c r="M275" s="47"/>
      <c r="N275" s="48"/>
    </row>
    <row r="276" spans="3:14" ht="54.75" customHeight="1">
      <c r="C276" s="42"/>
      <c r="D276" s="42"/>
      <c r="E276" s="43"/>
      <c r="F276" s="43"/>
      <c r="G276" s="43"/>
      <c r="H276" s="44"/>
      <c r="J276" s="46"/>
      <c r="M276" s="47"/>
      <c r="N276" s="48"/>
    </row>
    <row r="277" spans="3:14" ht="54.75" customHeight="1">
      <c r="C277" s="42"/>
      <c r="D277" s="42"/>
      <c r="E277" s="43"/>
      <c r="F277" s="43"/>
      <c r="G277" s="43"/>
      <c r="H277" s="44"/>
      <c r="J277" s="46"/>
      <c r="M277" s="47"/>
      <c r="N277" s="48"/>
    </row>
    <row r="278" spans="3:14" ht="54.75" customHeight="1">
      <c r="C278" s="42"/>
      <c r="D278" s="42"/>
      <c r="E278" s="43"/>
      <c r="F278" s="43"/>
      <c r="G278" s="43"/>
      <c r="H278" s="44"/>
      <c r="J278" s="46"/>
      <c r="M278" s="47"/>
      <c r="N278" s="48"/>
    </row>
    <row r="279" spans="3:14" ht="54.75" customHeight="1">
      <c r="C279" s="42"/>
      <c r="D279" s="42"/>
      <c r="E279" s="43"/>
      <c r="F279" s="43"/>
      <c r="G279" s="43"/>
      <c r="H279" s="44"/>
      <c r="J279" s="46"/>
      <c r="M279" s="47"/>
      <c r="N279" s="48"/>
    </row>
    <row r="280" spans="3:14" ht="54.75" customHeight="1">
      <c r="C280" s="42"/>
      <c r="D280" s="42"/>
      <c r="E280" s="43"/>
      <c r="F280" s="43"/>
      <c r="G280" s="43"/>
      <c r="H280" s="44"/>
      <c r="J280" s="46"/>
      <c r="M280" s="47"/>
      <c r="N280" s="48"/>
    </row>
    <row r="281" spans="3:14" ht="54.75" customHeight="1">
      <c r="C281" s="42"/>
      <c r="D281" s="42"/>
      <c r="E281" s="43"/>
      <c r="F281" s="43"/>
      <c r="G281" s="43"/>
      <c r="H281" s="44"/>
      <c r="J281" s="46"/>
      <c r="M281" s="47"/>
      <c r="N281" s="48"/>
    </row>
    <row r="282" spans="3:14" ht="54.75" customHeight="1">
      <c r="C282" s="42"/>
      <c r="D282" s="42"/>
      <c r="E282" s="43"/>
      <c r="F282" s="43"/>
      <c r="G282" s="43"/>
      <c r="H282" s="44"/>
      <c r="J282" s="46"/>
      <c r="M282" s="47"/>
      <c r="N282" s="48"/>
    </row>
    <row r="283" spans="3:14" ht="15.75" customHeight="1">
      <c r="C283" s="3"/>
      <c r="D283" s="3"/>
      <c r="E283" s="3"/>
      <c r="F283" s="3"/>
      <c r="N283" s="3"/>
    </row>
    <row r="284" spans="3:14" ht="15.75" customHeight="1">
      <c r="C284" s="3"/>
      <c r="D284" s="3"/>
      <c r="E284" s="3"/>
      <c r="F284" s="3"/>
      <c r="N284" s="3"/>
    </row>
    <row r="285" spans="3:14" ht="15.75" customHeight="1">
      <c r="C285" s="3"/>
      <c r="D285" s="3"/>
      <c r="E285" s="3"/>
      <c r="F285" s="3"/>
      <c r="N285" s="3"/>
    </row>
    <row r="286" spans="3:14" ht="15.75" customHeight="1">
      <c r="C286" s="3"/>
      <c r="D286" s="3"/>
      <c r="E286" s="3"/>
      <c r="F286" s="3"/>
      <c r="N286" s="3"/>
    </row>
    <row r="287" spans="3:14" ht="15.75" customHeight="1">
      <c r="C287" s="3"/>
      <c r="D287" s="3"/>
      <c r="E287" s="3"/>
      <c r="F287" s="3"/>
      <c r="N287" s="3"/>
    </row>
    <row r="288" spans="3:14" ht="15.75" customHeight="1">
      <c r="C288" s="3"/>
      <c r="D288" s="3"/>
      <c r="E288" s="3"/>
      <c r="F288" s="3"/>
      <c r="N288" s="3"/>
    </row>
    <row r="289" spans="3:14" ht="15.75" customHeight="1">
      <c r="C289" s="3"/>
      <c r="D289" s="3"/>
      <c r="E289" s="3"/>
      <c r="F289" s="3"/>
      <c r="N289" s="3"/>
    </row>
    <row r="290" spans="3:14" ht="15.75" customHeight="1">
      <c r="C290" s="3"/>
      <c r="D290" s="3"/>
      <c r="E290" s="3"/>
      <c r="F290" s="3"/>
      <c r="N290" s="3"/>
    </row>
    <row r="291" spans="3:14" ht="15.75" customHeight="1">
      <c r="C291" s="3"/>
      <c r="D291" s="3"/>
      <c r="E291" s="3"/>
      <c r="F291" s="3"/>
      <c r="N291" s="3"/>
    </row>
    <row r="292" spans="3:14" ht="15.75" customHeight="1">
      <c r="C292" s="3"/>
      <c r="D292" s="3"/>
      <c r="E292" s="3"/>
      <c r="F292" s="3"/>
      <c r="N292" s="3"/>
    </row>
    <row r="293" spans="3:14" ht="15.75" customHeight="1">
      <c r="C293" s="3"/>
      <c r="D293" s="3"/>
      <c r="E293" s="3"/>
      <c r="F293" s="3"/>
      <c r="N293" s="3"/>
    </row>
    <row r="294" spans="3:14" ht="15.75" customHeight="1">
      <c r="C294" s="3"/>
      <c r="D294" s="3"/>
      <c r="E294" s="3"/>
      <c r="F294" s="3"/>
      <c r="N294" s="3"/>
    </row>
    <row r="295" spans="3:14" ht="15.75" customHeight="1">
      <c r="C295" s="3"/>
      <c r="D295" s="3"/>
      <c r="E295" s="3"/>
      <c r="F295" s="3"/>
      <c r="N295" s="3"/>
    </row>
    <row r="296" spans="3:14" ht="15.75" customHeight="1">
      <c r="C296" s="3"/>
      <c r="D296" s="3"/>
      <c r="E296" s="3"/>
      <c r="F296" s="3"/>
      <c r="N296" s="3"/>
    </row>
    <row r="297" spans="3:14" ht="15.75" customHeight="1">
      <c r="C297" s="3"/>
      <c r="D297" s="3"/>
      <c r="E297" s="3"/>
      <c r="F297" s="3"/>
      <c r="N297" s="3"/>
    </row>
    <row r="298" spans="3:14" ht="15.75" customHeight="1">
      <c r="C298" s="3"/>
      <c r="D298" s="3"/>
      <c r="E298" s="3"/>
      <c r="F298" s="3"/>
      <c r="N298" s="3"/>
    </row>
    <row r="299" spans="3:14" ht="15.75" customHeight="1">
      <c r="C299" s="3"/>
      <c r="D299" s="3"/>
      <c r="E299" s="3"/>
      <c r="F299" s="3"/>
      <c r="N299" s="3"/>
    </row>
    <row r="300" spans="3:14" ht="15.75" customHeight="1">
      <c r="C300" s="3"/>
      <c r="D300" s="3"/>
      <c r="E300" s="3"/>
      <c r="F300" s="3"/>
      <c r="N300" s="3"/>
    </row>
    <row r="301" spans="3:14" ht="15.75" customHeight="1">
      <c r="C301" s="3"/>
      <c r="D301" s="3"/>
      <c r="E301" s="3"/>
      <c r="F301" s="3"/>
      <c r="N301" s="3"/>
    </row>
    <row r="302" spans="3:14" ht="15.75" customHeight="1">
      <c r="C302" s="3"/>
      <c r="D302" s="3"/>
      <c r="E302" s="3"/>
      <c r="F302" s="3"/>
      <c r="N302" s="3"/>
    </row>
    <row r="303" spans="3:14" ht="15.75" customHeight="1">
      <c r="C303" s="3"/>
      <c r="D303" s="3"/>
      <c r="E303" s="3"/>
      <c r="F303" s="3"/>
      <c r="N303" s="3"/>
    </row>
    <row r="304" spans="3:14" ht="15.75" customHeight="1">
      <c r="C304" s="3"/>
      <c r="D304" s="3"/>
      <c r="E304" s="3"/>
      <c r="F304" s="3"/>
      <c r="N304" s="3"/>
    </row>
    <row r="305" spans="3:14" ht="15.75" customHeight="1">
      <c r="C305" s="3"/>
      <c r="D305" s="3"/>
      <c r="E305" s="3"/>
      <c r="F305" s="3"/>
      <c r="N305" s="3"/>
    </row>
    <row r="306" spans="3:14" ht="15.75" customHeight="1">
      <c r="C306" s="3"/>
      <c r="D306" s="3"/>
      <c r="E306" s="3"/>
      <c r="F306" s="3"/>
      <c r="N306" s="3"/>
    </row>
    <row r="307" spans="3:14" ht="15.75" customHeight="1">
      <c r="C307" s="3"/>
      <c r="D307" s="3"/>
      <c r="E307" s="3"/>
      <c r="F307" s="3"/>
      <c r="N307" s="3"/>
    </row>
    <row r="308" spans="3:14" ht="15.75" customHeight="1">
      <c r="C308" s="3"/>
      <c r="D308" s="3"/>
      <c r="E308" s="3"/>
      <c r="F308" s="3"/>
      <c r="N308" s="3"/>
    </row>
    <row r="309" spans="3:14" ht="15.75" customHeight="1">
      <c r="C309" s="3"/>
      <c r="D309" s="3"/>
      <c r="E309" s="3"/>
      <c r="F309" s="3"/>
      <c r="N309" s="3"/>
    </row>
    <row r="310" spans="3:14" ht="15.75" customHeight="1">
      <c r="C310" s="3"/>
      <c r="D310" s="3"/>
      <c r="E310" s="3"/>
      <c r="F310" s="3"/>
      <c r="N310" s="3"/>
    </row>
    <row r="311" spans="3:14" ht="15.75" customHeight="1">
      <c r="C311" s="3"/>
      <c r="D311" s="3"/>
      <c r="E311" s="3"/>
      <c r="F311" s="3"/>
      <c r="N311" s="3"/>
    </row>
    <row r="312" spans="3:14" ht="15.75" customHeight="1">
      <c r="C312" s="3"/>
      <c r="D312" s="3"/>
      <c r="E312" s="3"/>
      <c r="F312" s="3"/>
      <c r="N312" s="3"/>
    </row>
    <row r="313" spans="3:14" ht="15.75" customHeight="1">
      <c r="C313" s="3"/>
      <c r="D313" s="3"/>
      <c r="E313" s="3"/>
      <c r="F313" s="3"/>
      <c r="N313" s="3"/>
    </row>
    <row r="314" spans="3:14" ht="15.75" customHeight="1">
      <c r="C314" s="3"/>
      <c r="D314" s="3"/>
      <c r="E314" s="3"/>
      <c r="F314" s="3"/>
      <c r="N314" s="3"/>
    </row>
    <row r="315" spans="3:14" ht="15.75" customHeight="1">
      <c r="C315" s="3"/>
      <c r="D315" s="3"/>
      <c r="E315" s="3"/>
      <c r="F315" s="3"/>
      <c r="N315" s="3"/>
    </row>
    <row r="316" spans="3:14" ht="15.75" customHeight="1">
      <c r="C316" s="3"/>
      <c r="D316" s="3"/>
      <c r="E316" s="3"/>
      <c r="F316" s="3"/>
      <c r="N316" s="3"/>
    </row>
    <row r="317" spans="3:14" ht="15.75" customHeight="1">
      <c r="C317" s="3"/>
      <c r="D317" s="3"/>
      <c r="E317" s="3"/>
      <c r="F317" s="3"/>
      <c r="N317" s="3"/>
    </row>
    <row r="318" spans="3:14" ht="15.75" customHeight="1">
      <c r="C318" s="3"/>
      <c r="D318" s="3"/>
      <c r="E318" s="3"/>
      <c r="F318" s="3"/>
      <c r="N318" s="3"/>
    </row>
    <row r="319" spans="3:14" ht="15.75" customHeight="1">
      <c r="C319" s="3"/>
      <c r="D319" s="3"/>
      <c r="E319" s="3"/>
      <c r="F319" s="3"/>
      <c r="N319" s="3"/>
    </row>
    <row r="320" spans="3:14" ht="15.75" customHeight="1">
      <c r="C320" s="3"/>
      <c r="D320" s="3"/>
      <c r="E320" s="3"/>
      <c r="F320" s="3"/>
      <c r="N320" s="3"/>
    </row>
    <row r="321" spans="3:14" ht="15.75" customHeight="1">
      <c r="C321" s="3"/>
      <c r="D321" s="3"/>
      <c r="E321" s="3"/>
      <c r="F321" s="3"/>
      <c r="N321" s="3"/>
    </row>
    <row r="322" spans="3:14" ht="15.75" customHeight="1">
      <c r="C322" s="3"/>
      <c r="D322" s="3"/>
      <c r="E322" s="3"/>
      <c r="F322" s="3"/>
      <c r="N322" s="3"/>
    </row>
    <row r="323" spans="3:14" ht="15.75" customHeight="1">
      <c r="C323" s="3"/>
      <c r="D323" s="3"/>
      <c r="E323" s="3"/>
      <c r="F323" s="3"/>
      <c r="N323" s="3"/>
    </row>
    <row r="324" spans="3:14" ht="15.75" customHeight="1">
      <c r="C324" s="3"/>
      <c r="D324" s="3"/>
      <c r="E324" s="3"/>
      <c r="F324" s="3"/>
      <c r="N324" s="3"/>
    </row>
    <row r="325" spans="3:14" ht="15.75" customHeight="1">
      <c r="C325" s="3"/>
      <c r="D325" s="3"/>
      <c r="E325" s="3"/>
      <c r="F325" s="3"/>
      <c r="N325" s="3"/>
    </row>
    <row r="326" spans="3:14" ht="15.75" customHeight="1">
      <c r="C326" s="3"/>
      <c r="D326" s="3"/>
      <c r="E326" s="3"/>
      <c r="F326" s="3"/>
      <c r="N326" s="3"/>
    </row>
    <row r="327" spans="3:14" ht="15.75" customHeight="1">
      <c r="C327" s="3"/>
      <c r="D327" s="3"/>
      <c r="E327" s="3"/>
      <c r="F327" s="3"/>
      <c r="N327" s="3"/>
    </row>
    <row r="328" spans="3:14" ht="15.75" customHeight="1">
      <c r="C328" s="3"/>
      <c r="D328" s="3"/>
      <c r="E328" s="3"/>
      <c r="F328" s="3"/>
      <c r="N328" s="3"/>
    </row>
    <row r="329" spans="3:14" ht="15.75" customHeight="1">
      <c r="C329" s="3"/>
      <c r="D329" s="3"/>
      <c r="E329" s="3"/>
      <c r="F329" s="3"/>
      <c r="N329" s="3"/>
    </row>
    <row r="330" spans="3:14" ht="15.75" customHeight="1">
      <c r="C330" s="3"/>
      <c r="D330" s="3"/>
      <c r="E330" s="3"/>
      <c r="F330" s="3"/>
      <c r="N330" s="3"/>
    </row>
    <row r="331" spans="3:14" ht="15.75" customHeight="1">
      <c r="C331" s="3"/>
      <c r="D331" s="3"/>
      <c r="E331" s="3"/>
      <c r="F331" s="3"/>
      <c r="N331" s="3"/>
    </row>
    <row r="332" spans="3:14" ht="15.75" customHeight="1">
      <c r="C332" s="3"/>
      <c r="D332" s="3"/>
      <c r="E332" s="3"/>
      <c r="F332" s="3"/>
      <c r="N332" s="3"/>
    </row>
    <row r="333" spans="3:14" ht="15.75" customHeight="1">
      <c r="C333" s="3"/>
      <c r="D333" s="3"/>
      <c r="E333" s="3"/>
      <c r="F333" s="3"/>
      <c r="N333" s="3"/>
    </row>
    <row r="334" spans="3:14" ht="15.75" customHeight="1">
      <c r="C334" s="3"/>
      <c r="D334" s="3"/>
      <c r="E334" s="3"/>
      <c r="F334" s="3"/>
      <c r="N334" s="3"/>
    </row>
    <row r="335" spans="3:14" ht="15.75" customHeight="1">
      <c r="C335" s="3"/>
      <c r="D335" s="3"/>
      <c r="E335" s="3"/>
      <c r="F335" s="3"/>
      <c r="N335" s="3"/>
    </row>
    <row r="336" spans="3:14" ht="15.75" customHeight="1">
      <c r="C336" s="3"/>
      <c r="D336" s="3"/>
      <c r="E336" s="3"/>
      <c r="F336" s="3"/>
      <c r="N336" s="3"/>
    </row>
    <row r="337" spans="3:14" ht="15.75" customHeight="1">
      <c r="C337" s="3"/>
      <c r="D337" s="3"/>
      <c r="E337" s="3"/>
      <c r="F337" s="3"/>
      <c r="N337" s="3"/>
    </row>
    <row r="338" spans="3:14" ht="15.75" customHeight="1">
      <c r="C338" s="3"/>
      <c r="D338" s="3"/>
      <c r="E338" s="3"/>
      <c r="F338" s="3"/>
      <c r="N338" s="3"/>
    </row>
    <row r="339" spans="3:14" ht="15.75" customHeight="1">
      <c r="C339" s="3"/>
      <c r="D339" s="3"/>
      <c r="E339" s="3"/>
      <c r="F339" s="3"/>
      <c r="N339" s="3"/>
    </row>
    <row r="340" spans="3:14" ht="15.75" customHeight="1">
      <c r="C340" s="3"/>
      <c r="D340" s="3"/>
      <c r="E340" s="3"/>
      <c r="F340" s="3"/>
      <c r="N340" s="3"/>
    </row>
    <row r="341" spans="3:14" ht="15.75" customHeight="1">
      <c r="C341" s="3"/>
      <c r="D341" s="3"/>
      <c r="E341" s="3"/>
      <c r="F341" s="3"/>
      <c r="N341" s="3"/>
    </row>
    <row r="342" spans="3:14" ht="15.75" customHeight="1">
      <c r="C342" s="3"/>
      <c r="D342" s="3"/>
      <c r="E342" s="3"/>
      <c r="F342" s="3"/>
      <c r="N342" s="3"/>
    </row>
    <row r="343" spans="3:14" ht="15.75" customHeight="1">
      <c r="C343" s="3"/>
      <c r="D343" s="3"/>
      <c r="E343" s="3"/>
      <c r="F343" s="3"/>
      <c r="N343" s="3"/>
    </row>
    <row r="344" spans="3:14" ht="15.75" customHeight="1">
      <c r="C344" s="3"/>
      <c r="D344" s="3"/>
      <c r="E344" s="3"/>
      <c r="F344" s="3"/>
      <c r="N344" s="3"/>
    </row>
    <row r="345" spans="3:14" ht="15.75" customHeight="1">
      <c r="C345" s="3"/>
      <c r="D345" s="3"/>
      <c r="E345" s="3"/>
      <c r="F345" s="3"/>
      <c r="N345" s="3"/>
    </row>
    <row r="346" spans="3:14" ht="15.75" customHeight="1">
      <c r="C346" s="3"/>
      <c r="D346" s="3"/>
      <c r="E346" s="3"/>
      <c r="F346" s="3"/>
      <c r="N346" s="3"/>
    </row>
    <row r="347" spans="3:14" ht="15.75" customHeight="1">
      <c r="C347" s="3"/>
      <c r="D347" s="3"/>
      <c r="E347" s="3"/>
      <c r="F347" s="3"/>
      <c r="N347" s="3"/>
    </row>
    <row r="348" spans="3:14" ht="15.75" customHeight="1">
      <c r="C348" s="3"/>
      <c r="D348" s="3"/>
      <c r="E348" s="3"/>
      <c r="F348" s="3"/>
      <c r="N348" s="3"/>
    </row>
    <row r="349" spans="3:14" ht="15.75" customHeight="1">
      <c r="C349" s="3"/>
      <c r="D349" s="3"/>
      <c r="E349" s="3"/>
      <c r="F349" s="3"/>
      <c r="N349" s="3"/>
    </row>
    <row r="350" spans="3:14" ht="15.75" customHeight="1">
      <c r="C350" s="3"/>
      <c r="D350" s="3"/>
      <c r="E350" s="3"/>
      <c r="F350" s="3"/>
      <c r="N350" s="3"/>
    </row>
    <row r="351" spans="3:14" ht="15.75" customHeight="1">
      <c r="C351" s="3"/>
      <c r="D351" s="3"/>
      <c r="E351" s="3"/>
      <c r="F351" s="3"/>
      <c r="N351" s="3"/>
    </row>
    <row r="352" spans="3:14" ht="15.75" customHeight="1">
      <c r="C352" s="3"/>
      <c r="D352" s="3"/>
      <c r="E352" s="3"/>
      <c r="F352" s="3"/>
      <c r="N352" s="3"/>
    </row>
    <row r="353" spans="3:14" ht="15.75" customHeight="1">
      <c r="C353" s="3"/>
      <c r="D353" s="3"/>
      <c r="E353" s="3"/>
      <c r="F353" s="3"/>
      <c r="N353" s="3"/>
    </row>
    <row r="354" spans="3:14" ht="15.75" customHeight="1">
      <c r="C354" s="3"/>
      <c r="D354" s="3"/>
      <c r="E354" s="3"/>
      <c r="F354" s="3"/>
      <c r="N354" s="3"/>
    </row>
    <row r="355" spans="3:14" ht="15.75" customHeight="1">
      <c r="C355" s="3"/>
      <c r="D355" s="3"/>
      <c r="E355" s="3"/>
      <c r="F355" s="3"/>
      <c r="N355" s="3"/>
    </row>
    <row r="356" spans="3:14" ht="15.75" customHeight="1">
      <c r="C356" s="3"/>
      <c r="D356" s="3"/>
      <c r="E356" s="3"/>
      <c r="F356" s="3"/>
      <c r="N356" s="3"/>
    </row>
    <row r="357" spans="3:14" ht="15.75" customHeight="1">
      <c r="C357" s="3"/>
      <c r="D357" s="3"/>
      <c r="E357" s="3"/>
      <c r="F357" s="3"/>
      <c r="N357" s="3"/>
    </row>
    <row r="358" spans="3:14" ht="15.75" customHeight="1">
      <c r="C358" s="3"/>
      <c r="D358" s="3"/>
      <c r="E358" s="3"/>
      <c r="F358" s="3"/>
      <c r="N358" s="3"/>
    </row>
    <row r="359" spans="3:14" ht="15.75" customHeight="1">
      <c r="C359" s="3"/>
      <c r="D359" s="3"/>
      <c r="E359" s="3"/>
      <c r="F359" s="3"/>
      <c r="N359" s="3"/>
    </row>
    <row r="360" spans="3:14" ht="15.75" customHeight="1">
      <c r="C360" s="3"/>
      <c r="D360" s="3"/>
      <c r="E360" s="3"/>
      <c r="F360" s="3"/>
      <c r="N360" s="3"/>
    </row>
    <row r="361" spans="3:14" ht="15.75" customHeight="1">
      <c r="C361" s="3"/>
      <c r="D361" s="3"/>
      <c r="E361" s="3"/>
      <c r="F361" s="3"/>
      <c r="N361" s="3"/>
    </row>
    <row r="362" spans="3:14" ht="15.75" customHeight="1">
      <c r="C362" s="3"/>
      <c r="D362" s="3"/>
      <c r="E362" s="3"/>
      <c r="F362" s="3"/>
      <c r="N362" s="3"/>
    </row>
    <row r="363" spans="3:14" ht="15.75" customHeight="1">
      <c r="C363" s="3"/>
      <c r="D363" s="3"/>
      <c r="E363" s="3"/>
      <c r="F363" s="3"/>
      <c r="N363" s="3"/>
    </row>
    <row r="364" spans="3:14" ht="15.75" customHeight="1">
      <c r="C364" s="3"/>
      <c r="D364" s="3"/>
      <c r="E364" s="3"/>
      <c r="F364" s="3"/>
      <c r="N364" s="3"/>
    </row>
    <row r="365" spans="3:14" ht="15.75" customHeight="1">
      <c r="C365" s="3"/>
      <c r="D365" s="3"/>
      <c r="E365" s="3"/>
      <c r="F365" s="3"/>
      <c r="N365" s="3"/>
    </row>
    <row r="366" spans="3:14" ht="15.75" customHeight="1">
      <c r="C366" s="3"/>
      <c r="D366" s="3"/>
      <c r="E366" s="3"/>
      <c r="F366" s="3"/>
      <c r="N366" s="3"/>
    </row>
    <row r="367" spans="3:14" ht="15.75" customHeight="1">
      <c r="C367" s="3"/>
      <c r="D367" s="3"/>
      <c r="E367" s="3"/>
      <c r="F367" s="3"/>
      <c r="N367" s="3"/>
    </row>
    <row r="368" spans="3:14" ht="15.75" customHeight="1">
      <c r="C368" s="3"/>
      <c r="D368" s="3"/>
      <c r="E368" s="3"/>
      <c r="F368" s="3"/>
      <c r="N368" s="3"/>
    </row>
    <row r="369" spans="3:14" ht="15.75" customHeight="1">
      <c r="C369" s="3"/>
      <c r="D369" s="3"/>
      <c r="E369" s="3"/>
      <c r="F369" s="3"/>
      <c r="N369" s="3"/>
    </row>
    <row r="370" spans="3:14" ht="15.75" customHeight="1">
      <c r="C370" s="3"/>
      <c r="D370" s="3"/>
      <c r="E370" s="3"/>
      <c r="F370" s="3"/>
      <c r="N370" s="3"/>
    </row>
    <row r="371" spans="3:14" ht="15.75" customHeight="1">
      <c r="C371" s="3"/>
      <c r="D371" s="3"/>
      <c r="E371" s="3"/>
      <c r="F371" s="3"/>
      <c r="N371" s="3"/>
    </row>
    <row r="372" spans="3:14" ht="15.75" customHeight="1">
      <c r="C372" s="3"/>
      <c r="D372" s="3"/>
      <c r="E372" s="3"/>
      <c r="F372" s="3"/>
      <c r="N372" s="3"/>
    </row>
    <row r="373" spans="3:14" ht="15.75" customHeight="1">
      <c r="C373" s="3"/>
      <c r="D373" s="3"/>
      <c r="E373" s="3"/>
      <c r="F373" s="3"/>
      <c r="N373" s="3"/>
    </row>
    <row r="374" spans="3:14" ht="15.75" customHeight="1">
      <c r="C374" s="3"/>
      <c r="D374" s="3"/>
      <c r="E374" s="3"/>
      <c r="F374" s="3"/>
      <c r="N374" s="3"/>
    </row>
    <row r="375" spans="3:14" ht="15.75" customHeight="1">
      <c r="C375" s="3"/>
      <c r="D375" s="3"/>
      <c r="E375" s="3"/>
      <c r="F375" s="3"/>
      <c r="N375" s="3"/>
    </row>
    <row r="376" spans="3:14" ht="15.75" customHeight="1">
      <c r="C376" s="3"/>
      <c r="D376" s="3"/>
      <c r="E376" s="3"/>
      <c r="F376" s="3"/>
      <c r="N376" s="3"/>
    </row>
    <row r="377" spans="3:14" ht="15.75" customHeight="1">
      <c r="C377" s="3"/>
      <c r="D377" s="3"/>
      <c r="E377" s="3"/>
      <c r="F377" s="3"/>
      <c r="N377" s="3"/>
    </row>
    <row r="378" spans="3:14" ht="15.75" customHeight="1">
      <c r="C378" s="3"/>
      <c r="D378" s="3"/>
      <c r="E378" s="3"/>
      <c r="F378" s="3"/>
      <c r="N378" s="3"/>
    </row>
    <row r="379" spans="3:14" ht="15.75" customHeight="1">
      <c r="C379" s="3"/>
      <c r="D379" s="3"/>
      <c r="E379" s="3"/>
      <c r="F379" s="3"/>
      <c r="N379" s="3"/>
    </row>
    <row r="380" spans="3:14" ht="15.75" customHeight="1">
      <c r="C380" s="3"/>
      <c r="D380" s="3"/>
      <c r="E380" s="3"/>
      <c r="F380" s="3"/>
      <c r="N380" s="3"/>
    </row>
    <row r="381" spans="3:14" ht="15.75" customHeight="1">
      <c r="C381" s="3"/>
      <c r="D381" s="3"/>
      <c r="E381" s="3"/>
      <c r="F381" s="3"/>
      <c r="N381" s="3"/>
    </row>
    <row r="382" spans="3:14" ht="15.75" customHeight="1">
      <c r="C382" s="3"/>
      <c r="D382" s="3"/>
      <c r="E382" s="3"/>
      <c r="F382" s="3"/>
      <c r="N382" s="3"/>
    </row>
    <row r="383" spans="3:14" ht="15.75" customHeight="1">
      <c r="C383" s="3"/>
      <c r="D383" s="3"/>
      <c r="E383" s="3"/>
      <c r="F383" s="3"/>
      <c r="N383" s="3"/>
    </row>
    <row r="384" spans="3:14" ht="15.75" customHeight="1">
      <c r="C384" s="3"/>
      <c r="D384" s="3"/>
      <c r="E384" s="3"/>
      <c r="F384" s="3"/>
      <c r="N384" s="3"/>
    </row>
    <row r="385" spans="3:14" ht="15.75" customHeight="1">
      <c r="C385" s="3"/>
      <c r="D385" s="3"/>
      <c r="E385" s="3"/>
      <c r="F385" s="3"/>
      <c r="N385" s="3"/>
    </row>
    <row r="386" spans="3:14" ht="15.75" customHeight="1">
      <c r="C386" s="3"/>
      <c r="D386" s="3"/>
      <c r="E386" s="3"/>
      <c r="F386" s="3"/>
      <c r="N386" s="3"/>
    </row>
    <row r="387" spans="3:14" ht="15.75" customHeight="1">
      <c r="C387" s="3"/>
      <c r="D387" s="3"/>
      <c r="E387" s="3"/>
      <c r="F387" s="3"/>
      <c r="N387" s="3"/>
    </row>
    <row r="388" spans="3:14" ht="15.75" customHeight="1">
      <c r="C388" s="3"/>
      <c r="D388" s="3"/>
      <c r="E388" s="3"/>
      <c r="F388" s="3"/>
      <c r="N388" s="3"/>
    </row>
    <row r="389" spans="3:14" ht="15.75" customHeight="1">
      <c r="C389" s="3"/>
      <c r="D389" s="3"/>
      <c r="E389" s="3"/>
      <c r="F389" s="3"/>
      <c r="N389" s="3"/>
    </row>
    <row r="390" spans="3:14" ht="15.75" customHeight="1">
      <c r="C390" s="3"/>
      <c r="D390" s="3"/>
      <c r="E390" s="3"/>
      <c r="F390" s="3"/>
      <c r="N390" s="3"/>
    </row>
    <row r="391" spans="3:14" ht="15.75" customHeight="1">
      <c r="C391" s="3"/>
      <c r="D391" s="3"/>
      <c r="E391" s="3"/>
      <c r="F391" s="3"/>
      <c r="N391" s="3"/>
    </row>
    <row r="392" spans="3:14" ht="15.75" customHeight="1">
      <c r="C392" s="3"/>
      <c r="D392" s="3"/>
      <c r="E392" s="3"/>
      <c r="F392" s="3"/>
      <c r="N392" s="3"/>
    </row>
    <row r="393" spans="3:14" ht="15.75" customHeight="1">
      <c r="C393" s="3"/>
      <c r="D393" s="3"/>
      <c r="E393" s="3"/>
      <c r="F393" s="3"/>
      <c r="N393" s="3"/>
    </row>
    <row r="394" spans="3:14" ht="15.75" customHeight="1">
      <c r="C394" s="3"/>
      <c r="D394" s="3"/>
      <c r="E394" s="3"/>
      <c r="F394" s="3"/>
      <c r="N394" s="3"/>
    </row>
    <row r="395" spans="3:14" ht="15.75" customHeight="1">
      <c r="C395" s="3"/>
      <c r="D395" s="3"/>
      <c r="E395" s="3"/>
      <c r="F395" s="3"/>
      <c r="N395" s="3"/>
    </row>
    <row r="396" spans="3:14" ht="15.75" customHeight="1">
      <c r="C396" s="3"/>
      <c r="D396" s="3"/>
      <c r="E396" s="3"/>
      <c r="F396" s="3"/>
      <c r="N396" s="3"/>
    </row>
    <row r="397" spans="3:14" ht="15.75" customHeight="1">
      <c r="C397" s="3"/>
      <c r="D397" s="3"/>
      <c r="E397" s="3"/>
      <c r="F397" s="3"/>
      <c r="N397" s="3"/>
    </row>
    <row r="398" spans="3:14" ht="15.75" customHeight="1">
      <c r="C398" s="3"/>
      <c r="D398" s="3"/>
      <c r="E398" s="3"/>
      <c r="F398" s="3"/>
      <c r="N398" s="3"/>
    </row>
    <row r="399" spans="3:14" ht="15.75" customHeight="1">
      <c r="C399" s="3"/>
      <c r="D399" s="3"/>
      <c r="E399" s="3"/>
      <c r="F399" s="3"/>
      <c r="N399" s="3"/>
    </row>
    <row r="400" spans="3:14" ht="15.75" customHeight="1">
      <c r="C400" s="3"/>
      <c r="D400" s="3"/>
      <c r="E400" s="3"/>
      <c r="F400" s="3"/>
      <c r="N400" s="3"/>
    </row>
    <row r="401" spans="3:14" ht="15.75" customHeight="1">
      <c r="C401" s="3"/>
      <c r="D401" s="3"/>
      <c r="E401" s="3"/>
      <c r="F401" s="3"/>
      <c r="N401" s="3"/>
    </row>
    <row r="402" spans="3:14" ht="15.75" customHeight="1">
      <c r="C402" s="3"/>
      <c r="D402" s="3"/>
      <c r="E402" s="3"/>
      <c r="F402" s="3"/>
      <c r="N402" s="3"/>
    </row>
    <row r="403" spans="3:14" ht="15.75" customHeight="1">
      <c r="C403" s="3"/>
      <c r="D403" s="3"/>
      <c r="E403" s="3"/>
      <c r="F403" s="3"/>
      <c r="N403" s="3"/>
    </row>
    <row r="404" spans="3:14" ht="15.75" customHeight="1">
      <c r="C404" s="3"/>
      <c r="D404" s="3"/>
      <c r="E404" s="3"/>
      <c r="F404" s="3"/>
      <c r="N404" s="3"/>
    </row>
    <row r="405" spans="3:14" ht="15.75" customHeight="1">
      <c r="C405" s="3"/>
      <c r="D405" s="3"/>
      <c r="E405" s="3"/>
      <c r="F405" s="3"/>
      <c r="N405" s="3"/>
    </row>
    <row r="406" spans="3:14" ht="15.75" customHeight="1">
      <c r="C406" s="3"/>
      <c r="D406" s="3"/>
      <c r="E406" s="3"/>
      <c r="F406" s="3"/>
      <c r="N406" s="3"/>
    </row>
    <row r="407" spans="3:14" ht="15.75" customHeight="1">
      <c r="C407" s="3"/>
      <c r="D407" s="3"/>
      <c r="E407" s="3"/>
      <c r="F407" s="3"/>
      <c r="N407" s="3"/>
    </row>
    <row r="408" spans="3:14" ht="15.75" customHeight="1">
      <c r="C408" s="3"/>
      <c r="D408" s="3"/>
      <c r="E408" s="3"/>
      <c r="F408" s="3"/>
      <c r="N408" s="3"/>
    </row>
    <row r="409" spans="3:14" ht="15.75" customHeight="1">
      <c r="C409" s="3"/>
      <c r="D409" s="3"/>
      <c r="E409" s="3"/>
      <c r="F409" s="3"/>
      <c r="N409" s="3"/>
    </row>
    <row r="410" spans="3:14" ht="15.75" customHeight="1">
      <c r="C410" s="3"/>
      <c r="D410" s="3"/>
      <c r="E410" s="3"/>
      <c r="F410" s="3"/>
      <c r="N410" s="3"/>
    </row>
    <row r="411" spans="3:14" ht="15.75" customHeight="1">
      <c r="C411" s="3"/>
      <c r="D411" s="3"/>
      <c r="E411" s="3"/>
      <c r="F411" s="3"/>
      <c r="N411" s="3"/>
    </row>
    <row r="412" spans="3:14" ht="15.75" customHeight="1">
      <c r="C412" s="3"/>
      <c r="D412" s="3"/>
      <c r="E412" s="3"/>
      <c r="F412" s="3"/>
      <c r="N412" s="3"/>
    </row>
    <row r="413" spans="3:14" ht="15.75" customHeight="1">
      <c r="C413" s="3"/>
      <c r="D413" s="3"/>
      <c r="E413" s="3"/>
      <c r="F413" s="3"/>
      <c r="N413" s="3"/>
    </row>
    <row r="414" spans="3:14" ht="15.75" customHeight="1">
      <c r="C414" s="3"/>
      <c r="D414" s="3"/>
      <c r="E414" s="3"/>
      <c r="F414" s="3"/>
      <c r="N414" s="3"/>
    </row>
    <row r="415" spans="3:14" ht="15.75" customHeight="1">
      <c r="C415" s="3"/>
      <c r="D415" s="3"/>
      <c r="E415" s="3"/>
      <c r="F415" s="3"/>
      <c r="N415" s="3"/>
    </row>
    <row r="416" spans="3:14" ht="15.75" customHeight="1">
      <c r="C416" s="3"/>
      <c r="D416" s="3"/>
      <c r="E416" s="3"/>
      <c r="F416" s="3"/>
      <c r="N416" s="3"/>
    </row>
    <row r="417" spans="3:14" ht="15.75" customHeight="1">
      <c r="C417" s="3"/>
      <c r="D417" s="3"/>
      <c r="E417" s="3"/>
      <c r="F417" s="3"/>
      <c r="N417" s="3"/>
    </row>
    <row r="418" spans="3:14" ht="15.75" customHeight="1">
      <c r="C418" s="3"/>
      <c r="D418" s="3"/>
      <c r="E418" s="3"/>
      <c r="F418" s="3"/>
      <c r="N418" s="3"/>
    </row>
    <row r="419" spans="3:14" ht="15.75" customHeight="1">
      <c r="C419" s="3"/>
      <c r="D419" s="3"/>
      <c r="E419" s="3"/>
      <c r="F419" s="3"/>
      <c r="N419" s="3"/>
    </row>
    <row r="420" spans="3:14" ht="15.75" customHeight="1">
      <c r="C420" s="3"/>
      <c r="D420" s="3"/>
      <c r="E420" s="3"/>
      <c r="F420" s="3"/>
      <c r="N420" s="3"/>
    </row>
    <row r="421" spans="3:14" ht="15.75" customHeight="1">
      <c r="C421" s="3"/>
      <c r="D421" s="3"/>
      <c r="E421" s="3"/>
      <c r="F421" s="3"/>
      <c r="N421" s="3"/>
    </row>
    <row r="422" spans="3:14" ht="15.75" customHeight="1">
      <c r="C422" s="3"/>
      <c r="D422" s="3"/>
      <c r="E422" s="3"/>
      <c r="F422" s="3"/>
      <c r="N422" s="3"/>
    </row>
    <row r="423" spans="3:14" ht="15.75" customHeight="1">
      <c r="C423" s="3"/>
      <c r="D423" s="3"/>
      <c r="E423" s="3"/>
      <c r="F423" s="3"/>
      <c r="N423" s="3"/>
    </row>
    <row r="424" spans="3:14" ht="15.75" customHeight="1">
      <c r="C424" s="3"/>
      <c r="D424" s="3"/>
      <c r="E424" s="3"/>
      <c r="F424" s="3"/>
      <c r="N424" s="3"/>
    </row>
    <row r="425" spans="3:14" ht="15.75" customHeight="1">
      <c r="C425" s="3"/>
      <c r="D425" s="3"/>
      <c r="E425" s="3"/>
      <c r="F425" s="3"/>
      <c r="N425" s="3"/>
    </row>
    <row r="426" spans="3:14" ht="15.75" customHeight="1">
      <c r="C426" s="3"/>
      <c r="D426" s="3"/>
      <c r="E426" s="3"/>
      <c r="F426" s="3"/>
      <c r="N426" s="3"/>
    </row>
    <row r="427" spans="3:14" ht="15.75" customHeight="1">
      <c r="C427" s="3"/>
      <c r="D427" s="3"/>
      <c r="E427" s="3"/>
      <c r="F427" s="3"/>
      <c r="N427" s="3"/>
    </row>
    <row r="428" spans="3:14" ht="15.75" customHeight="1">
      <c r="C428" s="3"/>
      <c r="D428" s="3"/>
      <c r="E428" s="3"/>
      <c r="F428" s="3"/>
      <c r="N428" s="3"/>
    </row>
    <row r="429" spans="3:14" ht="15.75" customHeight="1">
      <c r="C429" s="3"/>
      <c r="D429" s="3"/>
      <c r="E429" s="3"/>
      <c r="F429" s="3"/>
      <c r="N429" s="3"/>
    </row>
    <row r="430" spans="3:14" ht="15.75" customHeight="1">
      <c r="C430" s="3"/>
      <c r="D430" s="3"/>
      <c r="E430" s="3"/>
      <c r="F430" s="3"/>
      <c r="N430" s="3"/>
    </row>
    <row r="431" spans="3:14" ht="15.75" customHeight="1">
      <c r="C431" s="3"/>
      <c r="D431" s="3"/>
      <c r="E431" s="3"/>
      <c r="F431" s="3"/>
      <c r="N431" s="3"/>
    </row>
    <row r="432" spans="3:14" ht="15.75" customHeight="1">
      <c r="C432" s="3"/>
      <c r="D432" s="3"/>
      <c r="E432" s="3"/>
      <c r="F432" s="3"/>
      <c r="N432" s="3"/>
    </row>
    <row r="433" spans="3:14" ht="15.75" customHeight="1">
      <c r="C433" s="3"/>
      <c r="D433" s="3"/>
      <c r="E433" s="3"/>
      <c r="F433" s="3"/>
      <c r="N433" s="3"/>
    </row>
    <row r="434" spans="3:14" ht="15.75" customHeight="1">
      <c r="C434" s="3"/>
      <c r="D434" s="3"/>
      <c r="E434" s="3"/>
      <c r="F434" s="3"/>
      <c r="N434" s="3"/>
    </row>
    <row r="435" spans="3:14" ht="15.75" customHeight="1">
      <c r="C435" s="3"/>
      <c r="D435" s="3"/>
      <c r="E435" s="3"/>
      <c r="F435" s="3"/>
      <c r="N435" s="3"/>
    </row>
    <row r="436" spans="3:14" ht="15.75" customHeight="1">
      <c r="C436" s="3"/>
      <c r="D436" s="3"/>
      <c r="E436" s="3"/>
      <c r="F436" s="3"/>
      <c r="N436" s="3"/>
    </row>
    <row r="437" spans="3:14" ht="15.75" customHeight="1">
      <c r="C437" s="3"/>
      <c r="D437" s="3"/>
      <c r="E437" s="3"/>
      <c r="F437" s="3"/>
      <c r="N437" s="3"/>
    </row>
    <row r="438" spans="3:14" ht="15.75" customHeight="1">
      <c r="C438" s="3"/>
      <c r="D438" s="3"/>
      <c r="E438" s="3"/>
      <c r="F438" s="3"/>
      <c r="N438" s="3"/>
    </row>
    <row r="439" spans="3:14" ht="15.75" customHeight="1">
      <c r="C439" s="3"/>
      <c r="D439" s="3"/>
      <c r="E439" s="3"/>
      <c r="F439" s="3"/>
      <c r="N439" s="3"/>
    </row>
    <row r="440" spans="3:14" ht="15.75" customHeight="1">
      <c r="C440" s="3"/>
      <c r="D440" s="3"/>
      <c r="E440" s="3"/>
      <c r="F440" s="3"/>
      <c r="N440" s="3"/>
    </row>
    <row r="441" spans="3:14" ht="15.75" customHeight="1">
      <c r="C441" s="3"/>
      <c r="D441" s="3"/>
      <c r="E441" s="3"/>
      <c r="F441" s="3"/>
      <c r="N441" s="3"/>
    </row>
    <row r="442" spans="3:14" ht="15.75" customHeight="1">
      <c r="C442" s="3"/>
      <c r="D442" s="3"/>
      <c r="E442" s="3"/>
      <c r="F442" s="3"/>
      <c r="N442" s="3"/>
    </row>
    <row r="443" spans="3:14" ht="15.75" customHeight="1">
      <c r="C443" s="3"/>
      <c r="D443" s="3"/>
      <c r="E443" s="3"/>
      <c r="F443" s="3"/>
      <c r="N443" s="3"/>
    </row>
    <row r="444" spans="3:14" ht="15.75" customHeight="1">
      <c r="C444" s="3"/>
      <c r="D444" s="3"/>
      <c r="E444" s="3"/>
      <c r="F444" s="3"/>
      <c r="N444" s="3"/>
    </row>
    <row r="445" spans="3:14" ht="15.75" customHeight="1">
      <c r="C445" s="3"/>
      <c r="D445" s="3"/>
      <c r="E445" s="3"/>
      <c r="F445" s="3"/>
      <c r="N445" s="3"/>
    </row>
    <row r="446" spans="3:14" ht="15.75" customHeight="1">
      <c r="C446" s="3"/>
      <c r="D446" s="3"/>
      <c r="E446" s="3"/>
      <c r="F446" s="3"/>
      <c r="N446" s="3"/>
    </row>
    <row r="447" spans="3:14" ht="15.75" customHeight="1">
      <c r="C447" s="3"/>
      <c r="D447" s="3"/>
      <c r="E447" s="3"/>
      <c r="F447" s="3"/>
      <c r="N447" s="3"/>
    </row>
    <row r="448" spans="3:14" ht="15.75" customHeight="1">
      <c r="C448" s="3"/>
      <c r="D448" s="3"/>
      <c r="E448" s="3"/>
      <c r="F448" s="3"/>
      <c r="N448" s="3"/>
    </row>
    <row r="449" spans="3:14" ht="15.75" customHeight="1">
      <c r="C449" s="3"/>
      <c r="D449" s="3"/>
      <c r="E449" s="3"/>
      <c r="F449" s="3"/>
      <c r="N449" s="3"/>
    </row>
    <row r="450" spans="3:14" ht="15.75" customHeight="1">
      <c r="C450" s="3"/>
      <c r="D450" s="3"/>
      <c r="E450" s="3"/>
      <c r="F450" s="3"/>
      <c r="N450" s="3"/>
    </row>
    <row r="451" spans="3:14" ht="15.75" customHeight="1">
      <c r="C451" s="3"/>
      <c r="D451" s="3"/>
      <c r="E451" s="3"/>
      <c r="F451" s="3"/>
      <c r="N451" s="3"/>
    </row>
    <row r="452" spans="3:14" ht="15.75" customHeight="1">
      <c r="C452" s="3"/>
      <c r="D452" s="3"/>
      <c r="E452" s="3"/>
      <c r="F452" s="3"/>
      <c r="N452" s="3"/>
    </row>
    <row r="453" spans="3:14" ht="15.75" customHeight="1">
      <c r="C453" s="3"/>
      <c r="D453" s="3"/>
      <c r="E453" s="3"/>
      <c r="F453" s="3"/>
      <c r="N453" s="3"/>
    </row>
    <row r="454" spans="3:14" ht="15.75" customHeight="1">
      <c r="C454" s="3"/>
      <c r="D454" s="3"/>
      <c r="E454" s="3"/>
      <c r="F454" s="3"/>
      <c r="N454" s="3"/>
    </row>
    <row r="455" spans="3:14" ht="15.75" customHeight="1">
      <c r="C455" s="3"/>
      <c r="D455" s="3"/>
      <c r="E455" s="3"/>
      <c r="F455" s="3"/>
      <c r="N455" s="3"/>
    </row>
    <row r="456" spans="3:14" ht="15.75" customHeight="1">
      <c r="C456" s="3"/>
      <c r="D456" s="3"/>
      <c r="E456" s="3"/>
      <c r="F456" s="3"/>
      <c r="N456" s="3"/>
    </row>
    <row r="457" spans="3:14" ht="15.75" customHeight="1">
      <c r="C457" s="3"/>
      <c r="D457" s="3"/>
      <c r="E457" s="3"/>
      <c r="F457" s="3"/>
      <c r="N457" s="3"/>
    </row>
    <row r="458" spans="3:14" ht="15.75" customHeight="1">
      <c r="C458" s="3"/>
      <c r="D458" s="3"/>
      <c r="E458" s="3"/>
      <c r="F458" s="3"/>
      <c r="N458" s="3"/>
    </row>
    <row r="459" spans="3:14" ht="15.75" customHeight="1">
      <c r="C459" s="3"/>
      <c r="D459" s="3"/>
      <c r="E459" s="3"/>
      <c r="F459" s="3"/>
      <c r="N459" s="3"/>
    </row>
    <row r="460" spans="3:14" ht="15.75" customHeight="1">
      <c r="C460" s="3"/>
      <c r="D460" s="3"/>
      <c r="E460" s="3"/>
      <c r="F460" s="3"/>
      <c r="N460" s="3"/>
    </row>
    <row r="461" spans="3:14" ht="15.75" customHeight="1">
      <c r="C461" s="3"/>
      <c r="D461" s="3"/>
      <c r="E461" s="3"/>
      <c r="F461" s="3"/>
      <c r="N461" s="3"/>
    </row>
    <row r="462" spans="3:14" ht="15.75" customHeight="1">
      <c r="C462" s="3"/>
      <c r="D462" s="3"/>
      <c r="E462" s="3"/>
      <c r="F462" s="3"/>
      <c r="N462" s="3"/>
    </row>
    <row r="463" spans="3:14" ht="15.75" customHeight="1">
      <c r="C463" s="3"/>
      <c r="D463" s="3"/>
      <c r="E463" s="3"/>
      <c r="F463" s="3"/>
      <c r="N463" s="3"/>
    </row>
    <row r="464" spans="3:14" ht="15.75" customHeight="1">
      <c r="C464" s="3"/>
      <c r="D464" s="3"/>
      <c r="E464" s="3"/>
      <c r="F464" s="3"/>
      <c r="N464" s="3"/>
    </row>
    <row r="465" spans="3:14" ht="15.75" customHeight="1">
      <c r="C465" s="3"/>
      <c r="D465" s="3"/>
      <c r="E465" s="3"/>
      <c r="F465" s="3"/>
      <c r="N465" s="3"/>
    </row>
    <row r="466" spans="3:14" ht="15.75" customHeight="1">
      <c r="C466" s="3"/>
      <c r="D466" s="3"/>
      <c r="E466" s="3"/>
      <c r="F466" s="3"/>
      <c r="N466" s="3"/>
    </row>
    <row r="467" spans="3:14" ht="15.75" customHeight="1">
      <c r="C467" s="3"/>
      <c r="D467" s="3"/>
      <c r="E467" s="3"/>
      <c r="F467" s="3"/>
      <c r="N467" s="3"/>
    </row>
    <row r="468" spans="3:14" ht="15.75" customHeight="1">
      <c r="C468" s="3"/>
      <c r="D468" s="3"/>
      <c r="E468" s="3"/>
      <c r="F468" s="3"/>
      <c r="N468" s="3"/>
    </row>
    <row r="469" spans="3:14" ht="15.75" customHeight="1">
      <c r="C469" s="3"/>
      <c r="D469" s="3"/>
      <c r="E469" s="3"/>
      <c r="F469" s="3"/>
      <c r="N469" s="3"/>
    </row>
    <row r="470" spans="3:14" ht="15.75" customHeight="1">
      <c r="C470" s="3"/>
      <c r="D470" s="3"/>
      <c r="E470" s="3"/>
      <c r="F470" s="3"/>
      <c r="N470" s="3"/>
    </row>
    <row r="471" spans="3:14" ht="15.75" customHeight="1">
      <c r="C471" s="3"/>
      <c r="D471" s="3"/>
      <c r="E471" s="3"/>
      <c r="F471" s="3"/>
      <c r="N471" s="3"/>
    </row>
    <row r="472" spans="3:14" ht="15.75" customHeight="1">
      <c r="C472" s="3"/>
      <c r="D472" s="3"/>
      <c r="E472" s="3"/>
      <c r="F472" s="3"/>
      <c r="N472" s="3"/>
    </row>
    <row r="473" spans="3:14" ht="15.75" customHeight="1">
      <c r="C473" s="3"/>
      <c r="D473" s="3"/>
      <c r="E473" s="3"/>
      <c r="F473" s="3"/>
      <c r="N473" s="3"/>
    </row>
    <row r="474" spans="3:14" ht="15.75" customHeight="1">
      <c r="C474" s="3"/>
      <c r="D474" s="3"/>
      <c r="E474" s="3"/>
      <c r="F474" s="3"/>
      <c r="N474" s="3"/>
    </row>
    <row r="475" spans="3:14" ht="15.75" customHeight="1">
      <c r="C475" s="3"/>
      <c r="D475" s="3"/>
      <c r="E475" s="3"/>
      <c r="F475" s="3"/>
      <c r="N475" s="3"/>
    </row>
    <row r="476" spans="3:14" ht="15.75" customHeight="1">
      <c r="C476" s="3"/>
      <c r="D476" s="3"/>
      <c r="E476" s="3"/>
      <c r="F476" s="3"/>
      <c r="N476" s="3"/>
    </row>
    <row r="477" spans="3:14" ht="15.75" customHeight="1">
      <c r="C477" s="3"/>
      <c r="D477" s="3"/>
      <c r="E477" s="3"/>
      <c r="F477" s="3"/>
      <c r="N477" s="3"/>
    </row>
    <row r="478" spans="3:14" ht="15.75" customHeight="1">
      <c r="C478" s="3"/>
      <c r="D478" s="3"/>
      <c r="E478" s="3"/>
      <c r="F478" s="3"/>
      <c r="N478" s="3"/>
    </row>
    <row r="479" spans="3:14" ht="15.75" customHeight="1">
      <c r="C479" s="3"/>
      <c r="D479" s="3"/>
      <c r="E479" s="3"/>
      <c r="F479" s="3"/>
      <c r="N479" s="3"/>
    </row>
    <row r="480" spans="3:14" ht="15.75" customHeight="1">
      <c r="C480" s="3"/>
      <c r="D480" s="3"/>
      <c r="E480" s="3"/>
      <c r="F480" s="3"/>
      <c r="N480" s="3"/>
    </row>
    <row r="481" spans="3:14" ht="15.75" customHeight="1">
      <c r="C481" s="3"/>
      <c r="D481" s="3"/>
      <c r="E481" s="3"/>
      <c r="F481" s="3"/>
      <c r="N481" s="3"/>
    </row>
    <row r="482" spans="3:14" ht="15.75" customHeight="1">
      <c r="C482" s="3"/>
      <c r="D482" s="3"/>
      <c r="E482" s="3"/>
      <c r="F482" s="3"/>
      <c r="N482" s="3"/>
    </row>
    <row r="483" spans="3:14" ht="15.75" customHeight="1">
      <c r="C483" s="3"/>
      <c r="D483" s="3"/>
      <c r="E483" s="3"/>
      <c r="F483" s="3"/>
      <c r="N483" s="3"/>
    </row>
    <row r="484" spans="3:14" ht="15.75" customHeight="1">
      <c r="C484" s="3"/>
      <c r="D484" s="3"/>
      <c r="E484" s="3"/>
      <c r="F484" s="3"/>
      <c r="N484" s="3"/>
    </row>
    <row r="485" spans="3:14" ht="15.75" customHeight="1">
      <c r="C485" s="3"/>
      <c r="D485" s="3"/>
      <c r="E485" s="3"/>
      <c r="F485" s="3"/>
      <c r="N485" s="3"/>
    </row>
    <row r="486" spans="3:14" ht="15.75" customHeight="1">
      <c r="C486" s="3"/>
      <c r="D486" s="3"/>
      <c r="E486" s="3"/>
      <c r="F486" s="3"/>
      <c r="N486" s="3"/>
    </row>
    <row r="487" spans="3:14" ht="15.75" customHeight="1">
      <c r="C487" s="3"/>
      <c r="D487" s="3"/>
      <c r="E487" s="3"/>
      <c r="F487" s="3"/>
      <c r="N487" s="3"/>
    </row>
    <row r="488" spans="3:14" ht="15.75" customHeight="1">
      <c r="C488" s="3"/>
      <c r="D488" s="3"/>
      <c r="E488" s="3"/>
      <c r="F488" s="3"/>
      <c r="N488" s="3"/>
    </row>
    <row r="489" spans="3:14" ht="15.75" customHeight="1">
      <c r="C489" s="3"/>
      <c r="D489" s="3"/>
      <c r="E489" s="3"/>
      <c r="F489" s="3"/>
      <c r="N489" s="3"/>
    </row>
    <row r="490" spans="3:14" ht="15.75" customHeight="1">
      <c r="C490" s="3"/>
      <c r="D490" s="3"/>
      <c r="E490" s="3"/>
      <c r="F490" s="3"/>
      <c r="N490" s="3"/>
    </row>
    <row r="491" spans="3:14" ht="15.75" customHeight="1">
      <c r="C491" s="3"/>
      <c r="D491" s="3"/>
      <c r="E491" s="3"/>
      <c r="F491" s="3"/>
      <c r="N491" s="3"/>
    </row>
    <row r="492" spans="3:14" ht="15.75" customHeight="1">
      <c r="C492" s="3"/>
      <c r="D492" s="3"/>
      <c r="E492" s="3"/>
      <c r="F492" s="3"/>
      <c r="N492" s="3"/>
    </row>
    <row r="493" spans="3:14" ht="15.75" customHeight="1">
      <c r="C493" s="3"/>
      <c r="D493" s="3"/>
      <c r="E493" s="3"/>
      <c r="F493" s="3"/>
      <c r="N493" s="3"/>
    </row>
    <row r="494" spans="3:14" ht="15.75" customHeight="1">
      <c r="C494" s="3"/>
      <c r="D494" s="3"/>
      <c r="E494" s="3"/>
      <c r="F494" s="3"/>
      <c r="N494" s="3"/>
    </row>
    <row r="495" spans="3:14" ht="15.75" customHeight="1">
      <c r="C495" s="3"/>
      <c r="D495" s="3"/>
      <c r="E495" s="3"/>
      <c r="F495" s="3"/>
      <c r="N495" s="3"/>
    </row>
    <row r="496" spans="3:14" ht="15.75" customHeight="1">
      <c r="C496" s="3"/>
      <c r="D496" s="3"/>
      <c r="E496" s="3"/>
      <c r="F496" s="3"/>
      <c r="N496" s="3"/>
    </row>
    <row r="497" spans="3:14" ht="15.75" customHeight="1">
      <c r="C497" s="3"/>
      <c r="D497" s="3"/>
      <c r="E497" s="3"/>
      <c r="F497" s="3"/>
      <c r="N497" s="3"/>
    </row>
    <row r="498" spans="3:14" ht="15.75" customHeight="1">
      <c r="C498" s="3"/>
      <c r="D498" s="3"/>
      <c r="E498" s="3"/>
      <c r="F498" s="3"/>
      <c r="N498" s="3"/>
    </row>
    <row r="499" spans="3:14" ht="15.75" customHeight="1">
      <c r="C499" s="3"/>
      <c r="D499" s="3"/>
      <c r="E499" s="3"/>
      <c r="F499" s="3"/>
      <c r="N499" s="3"/>
    </row>
    <row r="500" spans="3:14" ht="15.75" customHeight="1">
      <c r="C500" s="3"/>
      <c r="D500" s="3"/>
      <c r="E500" s="3"/>
      <c r="F500" s="3"/>
      <c r="N500" s="3"/>
    </row>
    <row r="501" spans="3:14" ht="15.75" customHeight="1">
      <c r="C501" s="3"/>
      <c r="D501" s="3"/>
      <c r="E501" s="3"/>
      <c r="F501" s="3"/>
      <c r="N501" s="3"/>
    </row>
    <row r="502" spans="3:14" ht="15.75" customHeight="1">
      <c r="C502" s="3"/>
      <c r="D502" s="3"/>
      <c r="E502" s="3"/>
      <c r="F502" s="3"/>
      <c r="N502" s="3"/>
    </row>
    <row r="503" spans="3:14" ht="15.75" customHeight="1">
      <c r="C503" s="3"/>
      <c r="D503" s="3"/>
      <c r="E503" s="3"/>
      <c r="F503" s="3"/>
      <c r="N503" s="3"/>
    </row>
    <row r="504" spans="3:14" ht="15.75" customHeight="1">
      <c r="C504" s="3"/>
      <c r="D504" s="3"/>
      <c r="E504" s="3"/>
      <c r="F504" s="3"/>
      <c r="N504" s="3"/>
    </row>
    <row r="505" spans="3:14" ht="15.75" customHeight="1">
      <c r="C505" s="3"/>
      <c r="D505" s="3"/>
      <c r="E505" s="3"/>
      <c r="F505" s="3"/>
      <c r="N505" s="3"/>
    </row>
    <row r="506" spans="3:14" ht="15.75" customHeight="1">
      <c r="C506" s="3"/>
      <c r="D506" s="3"/>
      <c r="E506" s="3"/>
      <c r="F506" s="3"/>
      <c r="N506" s="3"/>
    </row>
    <row r="507" spans="3:14" ht="15.75" customHeight="1">
      <c r="C507" s="3"/>
      <c r="D507" s="3"/>
      <c r="E507" s="3"/>
      <c r="F507" s="3"/>
      <c r="N507" s="3"/>
    </row>
    <row r="508" spans="3:14" ht="15.75" customHeight="1">
      <c r="C508" s="3"/>
      <c r="D508" s="3"/>
      <c r="E508" s="3"/>
      <c r="F508" s="3"/>
      <c r="N508" s="3"/>
    </row>
    <row r="509" spans="3:14" ht="15.75" customHeight="1">
      <c r="C509" s="3"/>
      <c r="D509" s="3"/>
      <c r="E509" s="3"/>
      <c r="F509" s="3"/>
      <c r="N509" s="3"/>
    </row>
    <row r="510" spans="3:14" ht="15.75" customHeight="1">
      <c r="C510" s="3"/>
      <c r="D510" s="3"/>
      <c r="E510" s="3"/>
      <c r="F510" s="3"/>
      <c r="N510" s="3"/>
    </row>
    <row r="511" spans="3:14" ht="15.75" customHeight="1">
      <c r="C511" s="3"/>
      <c r="D511" s="3"/>
      <c r="E511" s="3"/>
      <c r="F511" s="3"/>
      <c r="N511" s="3"/>
    </row>
    <row r="512" spans="3:14" ht="15.75" customHeight="1">
      <c r="C512" s="3"/>
      <c r="D512" s="3"/>
      <c r="E512" s="3"/>
      <c r="F512" s="3"/>
      <c r="N512" s="3"/>
    </row>
    <row r="513" spans="3:14" ht="15.75" customHeight="1">
      <c r="C513" s="3"/>
      <c r="D513" s="3"/>
      <c r="E513" s="3"/>
      <c r="F513" s="3"/>
      <c r="N513" s="3"/>
    </row>
    <row r="514" spans="3:14" ht="15.75" customHeight="1">
      <c r="C514" s="3"/>
      <c r="D514" s="3"/>
      <c r="E514" s="3"/>
      <c r="F514" s="3"/>
      <c r="N514" s="3"/>
    </row>
    <row r="515" spans="3:14" ht="15.75" customHeight="1">
      <c r="C515" s="3"/>
      <c r="D515" s="3"/>
      <c r="E515" s="3"/>
      <c r="F515" s="3"/>
      <c r="N515" s="3"/>
    </row>
    <row r="516" spans="3:14" ht="15.75" customHeight="1">
      <c r="C516" s="3"/>
      <c r="D516" s="3"/>
      <c r="E516" s="3"/>
      <c r="F516" s="3"/>
      <c r="N516" s="3"/>
    </row>
    <row r="517" spans="3:14" ht="15.75" customHeight="1">
      <c r="C517" s="3"/>
      <c r="D517" s="3"/>
      <c r="E517" s="3"/>
      <c r="F517" s="3"/>
      <c r="N517" s="3"/>
    </row>
    <row r="518" spans="3:14" ht="15.75" customHeight="1">
      <c r="C518" s="3"/>
      <c r="D518" s="3"/>
      <c r="E518" s="3"/>
      <c r="F518" s="3"/>
      <c r="N518" s="3"/>
    </row>
    <row r="519" spans="3:14" ht="15.75" customHeight="1">
      <c r="C519" s="3"/>
      <c r="D519" s="3"/>
      <c r="E519" s="3"/>
      <c r="F519" s="3"/>
      <c r="N519" s="3"/>
    </row>
    <row r="520" spans="3:14" ht="15.75" customHeight="1">
      <c r="C520" s="3"/>
      <c r="D520" s="3"/>
      <c r="E520" s="3"/>
      <c r="F520" s="3"/>
      <c r="N520" s="3"/>
    </row>
    <row r="521" spans="3:14" ht="15.75" customHeight="1">
      <c r="C521" s="3"/>
      <c r="D521" s="3"/>
      <c r="E521" s="3"/>
      <c r="F521" s="3"/>
      <c r="N521" s="3"/>
    </row>
    <row r="522" spans="3:14" ht="15.75" customHeight="1">
      <c r="C522" s="3"/>
      <c r="D522" s="3"/>
      <c r="E522" s="3"/>
      <c r="F522" s="3"/>
      <c r="N522" s="3"/>
    </row>
    <row r="523" spans="3:14" ht="15.75" customHeight="1">
      <c r="C523" s="3"/>
      <c r="D523" s="3"/>
      <c r="E523" s="3"/>
      <c r="F523" s="3"/>
      <c r="N523" s="3"/>
    </row>
    <row r="524" spans="3:14" ht="15.75" customHeight="1">
      <c r="C524" s="3"/>
      <c r="D524" s="3"/>
      <c r="E524" s="3"/>
      <c r="F524" s="3"/>
      <c r="N524" s="3"/>
    </row>
    <row r="525" spans="3:14" ht="15.75" customHeight="1">
      <c r="C525" s="3"/>
      <c r="D525" s="3"/>
      <c r="E525" s="3"/>
      <c r="F525" s="3"/>
      <c r="N525" s="3"/>
    </row>
    <row r="526" spans="3:14" ht="15.75" customHeight="1">
      <c r="C526" s="3"/>
      <c r="D526" s="3"/>
      <c r="E526" s="3"/>
      <c r="F526" s="3"/>
      <c r="N526" s="3"/>
    </row>
    <row r="527" spans="3:14" ht="15.75" customHeight="1">
      <c r="C527" s="3"/>
      <c r="D527" s="3"/>
      <c r="E527" s="3"/>
      <c r="F527" s="3"/>
      <c r="N527" s="3"/>
    </row>
    <row r="528" spans="3:14" ht="15.75" customHeight="1">
      <c r="C528" s="3"/>
      <c r="D528" s="3"/>
      <c r="E528" s="3"/>
      <c r="F528" s="3"/>
      <c r="N528" s="3"/>
    </row>
    <row r="529" spans="3:14" ht="15.75" customHeight="1">
      <c r="C529" s="3"/>
      <c r="D529" s="3"/>
      <c r="E529" s="3"/>
      <c r="F529" s="3"/>
      <c r="N529" s="3"/>
    </row>
    <row r="530" spans="3:14" ht="15.75" customHeight="1">
      <c r="C530" s="3"/>
      <c r="D530" s="3"/>
      <c r="E530" s="3"/>
      <c r="F530" s="3"/>
      <c r="N530" s="3"/>
    </row>
    <row r="531" spans="3:14" ht="15.75" customHeight="1">
      <c r="C531" s="3"/>
      <c r="D531" s="3"/>
      <c r="E531" s="3"/>
      <c r="F531" s="3"/>
      <c r="N531" s="3"/>
    </row>
    <row r="532" spans="3:14" ht="15.75" customHeight="1">
      <c r="C532" s="3"/>
      <c r="D532" s="3"/>
      <c r="E532" s="3"/>
      <c r="F532" s="3"/>
      <c r="N532" s="3"/>
    </row>
    <row r="533" spans="3:14" ht="15.75" customHeight="1">
      <c r="C533" s="3"/>
      <c r="D533" s="3"/>
      <c r="E533" s="3"/>
      <c r="F533" s="3"/>
      <c r="N533" s="3"/>
    </row>
    <row r="534" spans="3:14" ht="15.75" customHeight="1">
      <c r="C534" s="3"/>
      <c r="D534" s="3"/>
      <c r="E534" s="3"/>
      <c r="F534" s="3"/>
      <c r="N534" s="3"/>
    </row>
    <row r="535" spans="3:14" ht="15.75" customHeight="1">
      <c r="C535" s="3"/>
      <c r="D535" s="3"/>
      <c r="E535" s="3"/>
      <c r="F535" s="3"/>
      <c r="N535" s="3"/>
    </row>
    <row r="536" spans="3:14" ht="15.75" customHeight="1">
      <c r="C536" s="3"/>
      <c r="D536" s="3"/>
      <c r="E536" s="3"/>
      <c r="F536" s="3"/>
      <c r="N536" s="3"/>
    </row>
    <row r="537" spans="3:14" ht="15.75" customHeight="1">
      <c r="C537" s="3"/>
      <c r="D537" s="3"/>
      <c r="E537" s="3"/>
      <c r="F537" s="3"/>
      <c r="N537" s="3"/>
    </row>
    <row r="538" spans="3:14" ht="15.75" customHeight="1">
      <c r="C538" s="3"/>
      <c r="D538" s="3"/>
      <c r="E538" s="3"/>
      <c r="F538" s="3"/>
      <c r="N538" s="3"/>
    </row>
    <row r="539" spans="3:14" ht="15.75" customHeight="1">
      <c r="C539" s="3"/>
      <c r="D539" s="3"/>
      <c r="E539" s="3"/>
      <c r="F539" s="3"/>
      <c r="N539" s="3"/>
    </row>
    <row r="540" spans="3:14" ht="15.75" customHeight="1">
      <c r="C540" s="3"/>
      <c r="D540" s="3"/>
      <c r="E540" s="3"/>
      <c r="F540" s="3"/>
      <c r="N540" s="3"/>
    </row>
    <row r="541" spans="3:14" ht="15.75" customHeight="1">
      <c r="C541" s="3"/>
      <c r="D541" s="3"/>
      <c r="E541" s="3"/>
      <c r="F541" s="3"/>
      <c r="N541" s="3"/>
    </row>
    <row r="542" spans="3:14" ht="15.75" customHeight="1">
      <c r="C542" s="3"/>
      <c r="D542" s="3"/>
      <c r="E542" s="3"/>
      <c r="F542" s="3"/>
      <c r="N542" s="3"/>
    </row>
    <row r="543" spans="3:14" ht="15.75" customHeight="1">
      <c r="C543" s="3"/>
      <c r="D543" s="3"/>
      <c r="E543" s="3"/>
      <c r="F543" s="3"/>
      <c r="N543" s="3"/>
    </row>
    <row r="544" spans="3:14" ht="15.75" customHeight="1">
      <c r="C544" s="3"/>
      <c r="D544" s="3"/>
      <c r="E544" s="3"/>
      <c r="F544" s="3"/>
      <c r="N544" s="3"/>
    </row>
    <row r="545" spans="3:14" ht="15.75" customHeight="1">
      <c r="C545" s="3"/>
      <c r="D545" s="3"/>
      <c r="E545" s="3"/>
      <c r="F545" s="3"/>
      <c r="N545" s="3"/>
    </row>
    <row r="546" spans="3:14" ht="15.75" customHeight="1">
      <c r="C546" s="3"/>
      <c r="D546" s="3"/>
      <c r="E546" s="3"/>
      <c r="F546" s="3"/>
      <c r="N546" s="3"/>
    </row>
    <row r="547" spans="3:14" ht="15.75" customHeight="1">
      <c r="C547" s="3"/>
      <c r="D547" s="3"/>
      <c r="E547" s="3"/>
      <c r="F547" s="3"/>
      <c r="N547" s="3"/>
    </row>
    <row r="548" spans="3:14" ht="15.75" customHeight="1">
      <c r="C548" s="3"/>
      <c r="D548" s="3"/>
      <c r="E548" s="3"/>
      <c r="F548" s="3"/>
      <c r="N548" s="3"/>
    </row>
    <row r="549" spans="3:14" ht="15.75" customHeight="1">
      <c r="C549" s="3"/>
      <c r="D549" s="3"/>
      <c r="E549" s="3"/>
      <c r="F549" s="3"/>
      <c r="N549" s="3"/>
    </row>
    <row r="550" spans="3:14" ht="15.75" customHeight="1">
      <c r="C550" s="3"/>
      <c r="D550" s="3"/>
      <c r="E550" s="3"/>
      <c r="F550" s="3"/>
      <c r="N550" s="3"/>
    </row>
    <row r="551" spans="3:14" ht="15.75" customHeight="1">
      <c r="C551" s="3"/>
      <c r="D551" s="3"/>
      <c r="E551" s="3"/>
      <c r="F551" s="3"/>
      <c r="N551" s="3"/>
    </row>
    <row r="552" spans="3:14" ht="15.75" customHeight="1">
      <c r="C552" s="3"/>
      <c r="D552" s="3"/>
      <c r="E552" s="3"/>
      <c r="F552" s="3"/>
      <c r="N552" s="3"/>
    </row>
    <row r="553" spans="3:14" ht="15.75" customHeight="1">
      <c r="C553" s="3"/>
      <c r="D553" s="3"/>
      <c r="E553" s="3"/>
      <c r="F553" s="3"/>
      <c r="N553" s="3"/>
    </row>
    <row r="554" spans="3:14" ht="15.75" customHeight="1">
      <c r="C554" s="3"/>
      <c r="D554" s="3"/>
      <c r="E554" s="3"/>
      <c r="F554" s="3"/>
      <c r="N554" s="3"/>
    </row>
    <row r="555" spans="3:14" ht="15.75" customHeight="1">
      <c r="C555" s="3"/>
      <c r="D555" s="3"/>
      <c r="E555" s="3"/>
      <c r="F555" s="3"/>
      <c r="N555" s="3"/>
    </row>
    <row r="556" spans="3:14" ht="15.75" customHeight="1">
      <c r="C556" s="3"/>
      <c r="D556" s="3"/>
      <c r="E556" s="3"/>
      <c r="F556" s="3"/>
      <c r="N556" s="3"/>
    </row>
    <row r="557" spans="3:14" ht="15.75" customHeight="1">
      <c r="C557" s="3"/>
      <c r="D557" s="3"/>
      <c r="E557" s="3"/>
      <c r="F557" s="3"/>
      <c r="N557" s="3"/>
    </row>
    <row r="558" spans="3:14" ht="15.75" customHeight="1">
      <c r="C558" s="3"/>
      <c r="D558" s="3"/>
      <c r="E558" s="3"/>
      <c r="F558" s="3"/>
      <c r="N558" s="3"/>
    </row>
    <row r="559" spans="3:14" ht="15.75" customHeight="1">
      <c r="C559" s="3"/>
      <c r="D559" s="3"/>
      <c r="E559" s="3"/>
      <c r="F559" s="3"/>
      <c r="N559" s="3"/>
    </row>
    <row r="560" spans="3:14" ht="15.75" customHeight="1">
      <c r="C560" s="3"/>
      <c r="D560" s="3"/>
      <c r="E560" s="3"/>
      <c r="F560" s="3"/>
      <c r="N560" s="3"/>
    </row>
    <row r="561" spans="3:14" ht="15.75" customHeight="1">
      <c r="C561" s="3"/>
      <c r="D561" s="3"/>
      <c r="E561" s="3"/>
      <c r="F561" s="3"/>
      <c r="N561" s="3"/>
    </row>
    <row r="562" spans="3:14" ht="15.75" customHeight="1">
      <c r="C562" s="3"/>
      <c r="D562" s="3"/>
      <c r="E562" s="3"/>
      <c r="F562" s="3"/>
      <c r="N562" s="3"/>
    </row>
    <row r="563" spans="3:14" ht="15.75" customHeight="1">
      <c r="C563" s="3"/>
      <c r="D563" s="3"/>
      <c r="E563" s="3"/>
      <c r="F563" s="3"/>
      <c r="N563" s="3"/>
    </row>
    <row r="564" spans="3:14" ht="15.75" customHeight="1">
      <c r="C564" s="3"/>
      <c r="D564" s="3"/>
      <c r="E564" s="3"/>
      <c r="F564" s="3"/>
      <c r="N564" s="3"/>
    </row>
    <row r="565" spans="3:14" ht="15.75" customHeight="1">
      <c r="C565" s="3"/>
      <c r="D565" s="3"/>
      <c r="E565" s="3"/>
      <c r="F565" s="3"/>
      <c r="N565" s="3"/>
    </row>
    <row r="566" spans="3:14" ht="15.75" customHeight="1">
      <c r="C566" s="3"/>
      <c r="D566" s="3"/>
      <c r="E566" s="3"/>
      <c r="F566" s="3"/>
      <c r="N566" s="3"/>
    </row>
    <row r="567" spans="3:14" ht="15.75" customHeight="1">
      <c r="C567" s="3"/>
      <c r="D567" s="3"/>
      <c r="E567" s="3"/>
      <c r="F567" s="3"/>
      <c r="N567" s="3"/>
    </row>
    <row r="568" spans="3:14" ht="15.75" customHeight="1">
      <c r="C568" s="3"/>
      <c r="D568" s="3"/>
      <c r="E568" s="3"/>
      <c r="F568" s="3"/>
      <c r="N568" s="3"/>
    </row>
    <row r="569" spans="3:14" ht="15.75" customHeight="1">
      <c r="C569" s="3"/>
      <c r="D569" s="3"/>
      <c r="E569" s="3"/>
      <c r="F569" s="3"/>
      <c r="N569" s="3"/>
    </row>
    <row r="570" spans="3:14" ht="15.75" customHeight="1">
      <c r="C570" s="3"/>
      <c r="D570" s="3"/>
      <c r="E570" s="3"/>
      <c r="F570" s="3"/>
      <c r="N570" s="3"/>
    </row>
    <row r="571" spans="3:14" ht="15.75" customHeight="1">
      <c r="C571" s="3"/>
      <c r="D571" s="3"/>
      <c r="E571" s="3"/>
      <c r="F571" s="3"/>
      <c r="N571" s="3"/>
    </row>
    <row r="572" spans="3:14" ht="15.75" customHeight="1">
      <c r="C572" s="3"/>
      <c r="D572" s="3"/>
      <c r="E572" s="3"/>
      <c r="F572" s="3"/>
      <c r="N572" s="3"/>
    </row>
    <row r="573" spans="3:14" ht="15.75" customHeight="1">
      <c r="C573" s="3"/>
      <c r="D573" s="3"/>
      <c r="E573" s="3"/>
      <c r="F573" s="3"/>
      <c r="N573" s="3"/>
    </row>
    <row r="574" spans="3:14" ht="15.75" customHeight="1">
      <c r="C574" s="3"/>
      <c r="D574" s="3"/>
      <c r="E574" s="3"/>
      <c r="F574" s="3"/>
      <c r="N574" s="3"/>
    </row>
    <row r="575" spans="3:14" ht="15.75" customHeight="1">
      <c r="C575" s="3"/>
      <c r="D575" s="3"/>
      <c r="E575" s="3"/>
      <c r="F575" s="3"/>
      <c r="N575" s="3"/>
    </row>
    <row r="576" spans="3:14" ht="15.75" customHeight="1">
      <c r="C576" s="3"/>
      <c r="D576" s="3"/>
      <c r="E576" s="3"/>
      <c r="F576" s="3"/>
      <c r="N576" s="3"/>
    </row>
    <row r="577" spans="3:14" ht="15.75" customHeight="1">
      <c r="C577" s="3"/>
      <c r="D577" s="3"/>
      <c r="E577" s="3"/>
      <c r="F577" s="3"/>
      <c r="N577" s="3"/>
    </row>
    <row r="578" spans="3:14" ht="15.75" customHeight="1">
      <c r="C578" s="3"/>
      <c r="D578" s="3"/>
      <c r="E578" s="3"/>
      <c r="F578" s="3"/>
      <c r="N578" s="3"/>
    </row>
    <row r="579" spans="3:14" ht="15.75" customHeight="1">
      <c r="C579" s="3"/>
      <c r="D579" s="3"/>
      <c r="E579" s="3"/>
      <c r="F579" s="3"/>
      <c r="N579" s="3"/>
    </row>
    <row r="580" spans="3:14" ht="15.75" customHeight="1">
      <c r="C580" s="3"/>
      <c r="D580" s="3"/>
      <c r="E580" s="3"/>
      <c r="F580" s="3"/>
      <c r="N580" s="3"/>
    </row>
    <row r="581" spans="3:14" ht="15.75" customHeight="1">
      <c r="C581" s="3"/>
      <c r="D581" s="3"/>
      <c r="E581" s="3"/>
      <c r="F581" s="3"/>
      <c r="N581" s="3"/>
    </row>
    <row r="582" spans="3:14" ht="15.75" customHeight="1">
      <c r="C582" s="3"/>
      <c r="D582" s="3"/>
      <c r="E582" s="3"/>
      <c r="F582" s="3"/>
      <c r="N582" s="3"/>
    </row>
    <row r="583" spans="3:14" ht="15.75" customHeight="1">
      <c r="C583" s="3"/>
      <c r="D583" s="3"/>
      <c r="E583" s="3"/>
      <c r="F583" s="3"/>
      <c r="N583" s="3"/>
    </row>
    <row r="584" spans="3:14" ht="15.75" customHeight="1">
      <c r="C584" s="3"/>
      <c r="D584" s="3"/>
      <c r="E584" s="3"/>
      <c r="F584" s="3"/>
      <c r="N584" s="3"/>
    </row>
    <row r="585" spans="3:14" ht="15.75" customHeight="1">
      <c r="C585" s="3"/>
      <c r="D585" s="3"/>
      <c r="E585" s="3"/>
      <c r="F585" s="3"/>
      <c r="N585" s="3"/>
    </row>
    <row r="586" spans="3:14" ht="15.75" customHeight="1">
      <c r="C586" s="3"/>
      <c r="D586" s="3"/>
      <c r="E586" s="3"/>
      <c r="F586" s="3"/>
      <c r="N586" s="3"/>
    </row>
    <row r="587" spans="3:14" ht="15.75" customHeight="1">
      <c r="C587" s="3"/>
      <c r="D587" s="3"/>
      <c r="E587" s="3"/>
      <c r="F587" s="3"/>
      <c r="N587" s="3"/>
    </row>
    <row r="588" spans="3:14" ht="15.75" customHeight="1">
      <c r="C588" s="3"/>
      <c r="D588" s="3"/>
      <c r="E588" s="3"/>
      <c r="F588" s="3"/>
      <c r="N588" s="3"/>
    </row>
    <row r="589" spans="3:14" ht="15.75" customHeight="1">
      <c r="C589" s="3"/>
      <c r="D589" s="3"/>
      <c r="E589" s="3"/>
      <c r="F589" s="3"/>
      <c r="N589" s="3"/>
    </row>
    <row r="590" spans="3:14" ht="15.75" customHeight="1">
      <c r="C590" s="3"/>
      <c r="D590" s="3"/>
      <c r="E590" s="3"/>
      <c r="F590" s="3"/>
      <c r="N590" s="3"/>
    </row>
    <row r="591" spans="3:14" ht="15.75" customHeight="1">
      <c r="C591" s="3"/>
      <c r="D591" s="3"/>
      <c r="E591" s="3"/>
      <c r="F591" s="3"/>
      <c r="N591" s="3"/>
    </row>
    <row r="592" spans="3:14" ht="15.75" customHeight="1">
      <c r="C592" s="3"/>
      <c r="D592" s="3"/>
      <c r="E592" s="3"/>
      <c r="F592" s="3"/>
      <c r="N592" s="3"/>
    </row>
    <row r="593" spans="3:14" ht="15.75" customHeight="1">
      <c r="C593" s="3"/>
      <c r="D593" s="3"/>
      <c r="E593" s="3"/>
      <c r="F593" s="3"/>
      <c r="N593" s="3"/>
    </row>
    <row r="594" spans="3:14" ht="15.75" customHeight="1">
      <c r="C594" s="3"/>
      <c r="D594" s="3"/>
      <c r="E594" s="3"/>
      <c r="F594" s="3"/>
      <c r="N594" s="3"/>
    </row>
    <row r="595" spans="3:14" ht="15.75" customHeight="1">
      <c r="C595" s="3"/>
      <c r="D595" s="3"/>
      <c r="E595" s="3"/>
      <c r="F595" s="3"/>
      <c r="N595" s="3"/>
    </row>
    <row r="596" spans="3:14" ht="15.75" customHeight="1">
      <c r="C596" s="3"/>
      <c r="D596" s="3"/>
      <c r="E596" s="3"/>
      <c r="F596" s="3"/>
      <c r="N596" s="3"/>
    </row>
    <row r="597" spans="3:14" ht="15.75" customHeight="1">
      <c r="C597" s="3"/>
      <c r="D597" s="3"/>
      <c r="E597" s="3"/>
      <c r="F597" s="3"/>
      <c r="N597" s="3"/>
    </row>
    <row r="598" spans="3:14" ht="15.75" customHeight="1">
      <c r="C598" s="3"/>
      <c r="D598" s="3"/>
      <c r="E598" s="3"/>
      <c r="F598" s="3"/>
      <c r="N598" s="3"/>
    </row>
    <row r="599" spans="3:14" ht="15.75" customHeight="1">
      <c r="C599" s="3"/>
      <c r="D599" s="3"/>
      <c r="E599" s="3"/>
      <c r="F599" s="3"/>
      <c r="N599" s="3"/>
    </row>
    <row r="600" spans="3:14" ht="15.75" customHeight="1">
      <c r="C600" s="3"/>
      <c r="D600" s="3"/>
      <c r="E600" s="3"/>
      <c r="F600" s="3"/>
      <c r="N600" s="3"/>
    </row>
    <row r="601" spans="3:14" ht="15.75" customHeight="1">
      <c r="C601" s="3"/>
      <c r="D601" s="3"/>
      <c r="E601" s="3"/>
      <c r="F601" s="3"/>
      <c r="N601" s="3"/>
    </row>
    <row r="602" spans="3:14" ht="15.75" customHeight="1">
      <c r="C602" s="3"/>
      <c r="D602" s="3"/>
      <c r="E602" s="3"/>
      <c r="F602" s="3"/>
      <c r="N602" s="3"/>
    </row>
    <row r="603" spans="3:14" ht="15.75" customHeight="1">
      <c r="C603" s="3"/>
      <c r="D603" s="3"/>
      <c r="E603" s="3"/>
      <c r="F603" s="3"/>
      <c r="N603" s="3"/>
    </row>
    <row r="604" spans="3:14" ht="15.75" customHeight="1">
      <c r="C604" s="3"/>
      <c r="D604" s="3"/>
      <c r="E604" s="3"/>
      <c r="F604" s="3"/>
      <c r="N604" s="3"/>
    </row>
    <row r="605" spans="3:14" ht="15.75" customHeight="1">
      <c r="C605" s="3"/>
      <c r="D605" s="3"/>
      <c r="E605" s="3"/>
      <c r="F605" s="3"/>
      <c r="N605" s="3"/>
    </row>
    <row r="606" spans="3:14" ht="15.75" customHeight="1">
      <c r="C606" s="3"/>
      <c r="D606" s="3"/>
      <c r="E606" s="3"/>
      <c r="F606" s="3"/>
      <c r="N606" s="3"/>
    </row>
    <row r="607" spans="3:14" ht="15.75" customHeight="1">
      <c r="C607" s="3"/>
      <c r="D607" s="3"/>
      <c r="E607" s="3"/>
      <c r="F607" s="3"/>
      <c r="N607" s="3"/>
    </row>
    <row r="608" spans="3:14" ht="15.75" customHeight="1">
      <c r="C608" s="3"/>
      <c r="D608" s="3"/>
      <c r="E608" s="3"/>
      <c r="F608" s="3"/>
      <c r="N608" s="3"/>
    </row>
    <row r="609" spans="3:14" ht="15.75" customHeight="1">
      <c r="C609" s="3"/>
      <c r="D609" s="3"/>
      <c r="E609" s="3"/>
      <c r="F609" s="3"/>
      <c r="N609" s="3"/>
    </row>
    <row r="610" spans="3:14" ht="15.75" customHeight="1">
      <c r="C610" s="3"/>
      <c r="D610" s="3"/>
      <c r="E610" s="3"/>
      <c r="F610" s="3"/>
      <c r="N610" s="3"/>
    </row>
    <row r="611" spans="3:14" ht="15.75" customHeight="1">
      <c r="C611" s="3"/>
      <c r="D611" s="3"/>
      <c r="E611" s="3"/>
      <c r="F611" s="3"/>
      <c r="N611" s="3"/>
    </row>
    <row r="612" spans="3:14" ht="15.75" customHeight="1">
      <c r="C612" s="3"/>
      <c r="D612" s="3"/>
      <c r="E612" s="3"/>
      <c r="F612" s="3"/>
      <c r="N612" s="3"/>
    </row>
  </sheetData>
  <autoFilter ref="A1:O82" xr:uid="{00000000-0009-0000-0000-000002000000}">
    <filterColumn colId="3">
      <filters>
        <filter val="Instagram"/>
      </filters>
    </filterColumn>
  </autoFilter>
  <customSheetViews>
    <customSheetView guid="{E88F7FCD-7F08-4E71-B30C-133DC4379821}" filter="1" showAutoFilter="1">
      <pageMargins left="0.7" right="0.7" top="0.75" bottom="0.75" header="0.3" footer="0.3"/>
      <autoFilter ref="A1:AB82" xr:uid="{67CB6C46-9DC2-DF44-8363-4E80EABDFB8A}">
        <filterColumn colId="3">
          <filters>
            <filter val="LinkedIn"/>
          </filters>
        </filterColumn>
      </autoFilter>
      <extLst>
        <ext uri="GoogleSheetsCustomDataVersion1">
          <go:sheetsCustomData xmlns:go="http://customooxmlschemas.google.com/" filterViewId="938129022"/>
        </ext>
      </extLst>
    </customSheetView>
    <customSheetView guid="{A618CD9D-AFBC-4474-824F-EDA0A02ED83B}" filter="1" showAutoFilter="1">
      <pageMargins left="0.7" right="0.7" top="0.75" bottom="0.75" header="0.3" footer="0.3"/>
      <autoFilter ref="A1:N282" xr:uid="{5882B26A-4163-F34B-A4EC-A8E4B8B4EB26}"/>
      <extLst>
        <ext uri="GoogleSheetsCustomDataVersion1">
          <go:sheetsCustomData xmlns:go="http://customooxmlschemas.google.com/" filterViewId="40062235"/>
        </ext>
      </extLst>
    </customSheetView>
    <customSheetView guid="{F190CBEE-8889-45AD-BB7D-398DE1561607}" filter="1" showAutoFilter="1">
      <pageMargins left="0.7" right="0.7" top="0.75" bottom="0.75" header="0.3" footer="0.3"/>
      <autoFilter ref="A1:N282" xr:uid="{741C9B99-BCFD-DB43-92B4-33350D5969D3}"/>
      <extLst>
        <ext uri="GoogleSheetsCustomDataVersion1">
          <go:sheetsCustomData xmlns:go="http://customooxmlschemas.google.com/" filterViewId="1404300964"/>
        </ext>
      </extLst>
    </customSheetView>
    <customSheetView guid="{9AD516A6-74B3-445D-BF65-F0FC0B0DC784}" filter="1" showAutoFilter="1">
      <pageMargins left="0.7" right="0.7" top="0.75" bottom="0.75" header="0.3" footer="0.3"/>
      <autoFilter ref="A1:N282" xr:uid="{1DFA0880-9244-2545-BE4A-35EC69675E9E}">
        <filterColumn colId="2">
          <filters>
            <filter val="Com digitale"/>
          </filters>
        </filterColumn>
      </autoFilter>
      <extLst>
        <ext uri="GoogleSheetsCustomDataVersion1">
          <go:sheetsCustomData xmlns:go="http://customooxmlschemas.google.com/" filterViewId="1038187113"/>
        </ext>
      </extLst>
    </customSheetView>
  </customSheetViews>
  <dataValidations count="5">
    <dataValidation type="list" allowBlank="1" showErrorMessage="1" sqref="C2:C612" xr:uid="{00000000-0002-0000-0200-000000000000}">
      <formula1>"Com digitale,Com corpo,Radio,Sécurité Routière,Com infra"</formula1>
    </dataValidation>
    <dataValidation type="list" allowBlank="1" showErrorMessage="1" sqref="F2:F612" xr:uid="{00000000-0002-0000-0200-000001000000}">
      <formula1>"Assurance pratique,Vie de la Radio,Roadtrip,Ecomobile,Le saviez-vous,Cap ou Canap,À la page,La tête dans les nuages,Carte grise,C'est de saison,Nature et Bricolage,Boussole et sac à dos,Empreinte d'histoire,Backstage,Météo,Actualité,Trafic,Insolite,Parten"&amp;"ariat culturel,Jeu partenariat culturel,Face cachée,Vie du réseau,Sécurité routière,Sécurité de nos agents,VH,Tourisme,Infrastructure,Flux libre,Travaux,Insight,Jeu,Relais presse,Exploitation,Groupe,Sanef solidaire,RSE"</formula1>
    </dataValidation>
    <dataValidation type="list" allowBlank="1" showErrorMessage="1" sqref="N2:N612" xr:uid="{00000000-0002-0000-0200-000002000000}">
      <formula1>"Arnaud Quemard,Vincent Fanguet,Jean-Marc Espagne,Julien Castres Saint-Martin,Caroline Chaix,François Cornier,Aurélie Debauge,Edouard Fischer,Rainier d'Haussonville,Julien Pointillart,Ying-Yu Touzot,Jean-Marie Vermorel,Nicolas Coeur,Nicolas Penicaud,Marc C"&amp;"rouzel,Amandine Berger-Molager,Raphaël Galligani,Emmanuel Batifoi,Lara Boyadjian,Haba Sissoko,Julien Derimay"</formula1>
    </dataValidation>
    <dataValidation type="list" allowBlank="1" showErrorMessage="1" sqref="E2:E612" xr:uid="{00000000-0002-0000-0200-000003000000}">
      <formula1>"Reel,Post,Story,Patchwork / Carrousel,Quiz,Vidéo"</formula1>
    </dataValidation>
    <dataValidation type="list" allowBlank="1" showErrorMessage="1" sqref="D2:D612" xr:uid="{00000000-0002-0000-0200-000004000000}">
      <formula1>"Instagram,Facebook,LinkedIn,Youtube,Tiktok"</formula1>
    </dataValidation>
  </dataValidations>
  <hyperlinks>
    <hyperlink ref="I2" r:id="rId1" xr:uid="{00000000-0004-0000-0200-000000000000}"/>
    <hyperlink ref="I3" r:id="rId2" xr:uid="{00000000-0004-0000-0200-000001000000}"/>
    <hyperlink ref="I4" r:id="rId3" xr:uid="{00000000-0004-0000-0200-000002000000}"/>
    <hyperlink ref="I5" r:id="rId4" xr:uid="{00000000-0004-0000-0200-000003000000}"/>
    <hyperlink ref="I6" r:id="rId5" xr:uid="{00000000-0004-0000-0200-000004000000}"/>
    <hyperlink ref="I7" r:id="rId6" xr:uid="{00000000-0004-0000-0200-000005000000}"/>
    <hyperlink ref="I8" r:id="rId7" xr:uid="{00000000-0004-0000-0200-000006000000}"/>
    <hyperlink ref="I9" r:id="rId8" xr:uid="{00000000-0004-0000-0200-000007000000}"/>
    <hyperlink ref="I10" r:id="rId9" xr:uid="{00000000-0004-0000-0200-000008000000}"/>
    <hyperlink ref="I11" r:id="rId10" xr:uid="{00000000-0004-0000-0200-000009000000}"/>
    <hyperlink ref="I12" r:id="rId11" xr:uid="{00000000-0004-0000-0200-00000A000000}"/>
    <hyperlink ref="I13" r:id="rId12" xr:uid="{00000000-0004-0000-0200-00000B000000}"/>
    <hyperlink ref="I14" r:id="rId13" xr:uid="{00000000-0004-0000-0200-00000C000000}"/>
    <hyperlink ref="I15" r:id="rId14" xr:uid="{00000000-0004-0000-0200-00000D000000}"/>
    <hyperlink ref="I16" r:id="rId15" xr:uid="{00000000-0004-0000-0200-00000E000000}"/>
    <hyperlink ref="I17" r:id="rId16" xr:uid="{00000000-0004-0000-0200-00000F000000}"/>
    <hyperlink ref="I18" r:id="rId17" xr:uid="{00000000-0004-0000-0200-000010000000}"/>
    <hyperlink ref="I19" r:id="rId18" xr:uid="{00000000-0004-0000-0200-000011000000}"/>
    <hyperlink ref="I20" r:id="rId19" xr:uid="{00000000-0004-0000-0200-000012000000}"/>
    <hyperlink ref="I21" r:id="rId20" xr:uid="{00000000-0004-0000-0200-000013000000}"/>
    <hyperlink ref="I22" r:id="rId21" xr:uid="{00000000-0004-0000-0200-000014000000}"/>
    <hyperlink ref="I23" r:id="rId22" xr:uid="{00000000-0004-0000-0200-000015000000}"/>
    <hyperlink ref="I24" r:id="rId23" xr:uid="{00000000-0004-0000-0200-000016000000}"/>
    <hyperlink ref="I25" r:id="rId24" xr:uid="{00000000-0004-0000-0200-000017000000}"/>
    <hyperlink ref="I26" r:id="rId25" xr:uid="{00000000-0004-0000-0200-000018000000}"/>
    <hyperlink ref="I27" r:id="rId26" xr:uid="{00000000-0004-0000-0200-000019000000}"/>
    <hyperlink ref="I28" r:id="rId27" xr:uid="{00000000-0004-0000-0200-00001A000000}"/>
    <hyperlink ref="I29" r:id="rId28" xr:uid="{00000000-0004-0000-0200-00001B000000}"/>
    <hyperlink ref="I30" r:id="rId29" xr:uid="{00000000-0004-0000-0200-00001C000000}"/>
    <hyperlink ref="I31" r:id="rId30" xr:uid="{00000000-0004-0000-0200-00001D000000}"/>
    <hyperlink ref="I32" r:id="rId31" xr:uid="{00000000-0004-0000-0200-00001E000000}"/>
    <hyperlink ref="I33" r:id="rId32" xr:uid="{00000000-0004-0000-0200-00001F000000}"/>
    <hyperlink ref="I34" r:id="rId33" xr:uid="{00000000-0004-0000-0200-000020000000}"/>
    <hyperlink ref="I35" r:id="rId34" xr:uid="{00000000-0004-0000-0200-000021000000}"/>
    <hyperlink ref="I36" r:id="rId35" xr:uid="{00000000-0004-0000-0200-000022000000}"/>
    <hyperlink ref="I37" r:id="rId36" xr:uid="{00000000-0004-0000-0200-000023000000}"/>
    <hyperlink ref="I38" r:id="rId37" xr:uid="{00000000-0004-0000-0200-000024000000}"/>
    <hyperlink ref="I39" r:id="rId38" xr:uid="{00000000-0004-0000-0200-000025000000}"/>
    <hyperlink ref="I40" r:id="rId39" xr:uid="{00000000-0004-0000-0200-000026000000}"/>
    <hyperlink ref="I41" r:id="rId40" xr:uid="{00000000-0004-0000-0200-000027000000}"/>
    <hyperlink ref="I42" r:id="rId41" xr:uid="{00000000-0004-0000-0200-000028000000}"/>
    <hyperlink ref="I43" r:id="rId42" xr:uid="{00000000-0004-0000-0200-000029000000}"/>
    <hyperlink ref="I44" r:id="rId43" xr:uid="{00000000-0004-0000-0200-00002A000000}"/>
    <hyperlink ref="I45" r:id="rId44" xr:uid="{00000000-0004-0000-0200-00002B000000}"/>
    <hyperlink ref="I46" r:id="rId45" xr:uid="{00000000-0004-0000-0200-00002C000000}"/>
    <hyperlink ref="I47" r:id="rId46" xr:uid="{00000000-0004-0000-0200-00002D000000}"/>
    <hyperlink ref="I48" r:id="rId47" xr:uid="{00000000-0004-0000-0200-00002E000000}"/>
    <hyperlink ref="I49" r:id="rId48" xr:uid="{00000000-0004-0000-0200-00002F000000}"/>
    <hyperlink ref="I50" r:id="rId49" xr:uid="{00000000-0004-0000-0200-000030000000}"/>
    <hyperlink ref="I51" r:id="rId50" xr:uid="{00000000-0004-0000-0200-000031000000}"/>
    <hyperlink ref="I52" r:id="rId51" xr:uid="{00000000-0004-0000-0200-000032000000}"/>
    <hyperlink ref="I53" r:id="rId52" xr:uid="{00000000-0004-0000-0200-000033000000}"/>
    <hyperlink ref="I54" r:id="rId53" xr:uid="{00000000-0004-0000-0200-000034000000}"/>
    <hyperlink ref="O54" r:id="rId54" xr:uid="{00000000-0004-0000-0200-000035000000}"/>
    <hyperlink ref="I55" r:id="rId55" xr:uid="{00000000-0004-0000-0200-000036000000}"/>
    <hyperlink ref="I56" r:id="rId56" xr:uid="{00000000-0004-0000-0200-000037000000}"/>
    <hyperlink ref="I57" r:id="rId57" xr:uid="{00000000-0004-0000-0200-000038000000}"/>
    <hyperlink ref="I58" r:id="rId58" xr:uid="{00000000-0004-0000-0200-000039000000}"/>
    <hyperlink ref="I59" r:id="rId59" xr:uid="{00000000-0004-0000-0200-00003A000000}"/>
    <hyperlink ref="I60" r:id="rId60" xr:uid="{00000000-0004-0000-0200-00003B000000}"/>
    <hyperlink ref="I61" r:id="rId61" xr:uid="{00000000-0004-0000-0200-00003C000000}"/>
    <hyperlink ref="I62" r:id="rId62" xr:uid="{00000000-0004-0000-0200-00003D000000}"/>
    <hyperlink ref="I63" r:id="rId63" xr:uid="{00000000-0004-0000-0200-00003E000000}"/>
    <hyperlink ref="I64" r:id="rId64" xr:uid="{00000000-0004-0000-0200-00003F000000}"/>
    <hyperlink ref="I65" r:id="rId65" xr:uid="{00000000-0004-0000-0200-000040000000}"/>
    <hyperlink ref="I66" r:id="rId66" xr:uid="{00000000-0004-0000-0200-000041000000}"/>
    <hyperlink ref="I67" r:id="rId67" xr:uid="{00000000-0004-0000-0200-000042000000}"/>
    <hyperlink ref="I68" r:id="rId68" xr:uid="{00000000-0004-0000-0200-000043000000}"/>
    <hyperlink ref="I69" r:id="rId69" xr:uid="{00000000-0004-0000-0200-000044000000}"/>
    <hyperlink ref="I70" r:id="rId70" xr:uid="{00000000-0004-0000-0200-000045000000}"/>
    <hyperlink ref="I71" r:id="rId71" xr:uid="{00000000-0004-0000-0200-000046000000}"/>
    <hyperlink ref="I72" r:id="rId72" xr:uid="{00000000-0004-0000-0200-000047000000}"/>
    <hyperlink ref="I73" r:id="rId73" xr:uid="{00000000-0004-0000-0200-000048000000}"/>
    <hyperlink ref="I74" r:id="rId74" xr:uid="{00000000-0004-0000-0200-000049000000}"/>
    <hyperlink ref="I75" r:id="rId75" xr:uid="{00000000-0004-0000-0200-00004A000000}"/>
    <hyperlink ref="I76" r:id="rId76" xr:uid="{00000000-0004-0000-0200-00004B000000}"/>
    <hyperlink ref="I77" r:id="rId77" xr:uid="{00000000-0004-0000-0200-00004C000000}"/>
    <hyperlink ref="I78" r:id="rId78" xr:uid="{00000000-0004-0000-0200-00004D000000}"/>
    <hyperlink ref="I79" r:id="rId79" xr:uid="{00000000-0004-0000-0200-00004E000000}"/>
    <hyperlink ref="I82" r:id="rId80" xr:uid="{00000000-0004-0000-0200-00004F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230"/>
  <sheetViews>
    <sheetView workbookViewId="0">
      <pane ySplit="1" topLeftCell="A22" activePane="bottomLeft" state="frozen"/>
      <selection pane="bottomLeft" activeCell="B3" sqref="B3"/>
    </sheetView>
  </sheetViews>
  <sheetFormatPr baseColWidth="10" defaultColWidth="11.1640625" defaultRowHeight="15" customHeight="1"/>
  <cols>
    <col min="1" max="1" width="8.6640625" customWidth="1"/>
    <col min="2" max="2" width="9.5" customWidth="1"/>
    <col min="3" max="3" width="10.5" customWidth="1"/>
    <col min="4" max="4" width="9.1640625" customWidth="1"/>
    <col min="5" max="5" width="9.83203125" customWidth="1"/>
    <col min="6" max="6" width="16.5" customWidth="1"/>
    <col min="7" max="7" width="16.1640625" customWidth="1"/>
    <col min="8" max="8" width="42.5" customWidth="1"/>
    <col min="9" max="9" width="13.5" customWidth="1"/>
    <col min="10" max="10" width="12.6640625" customWidth="1"/>
    <col min="12" max="12" width="12.33203125" customWidth="1"/>
    <col min="14" max="14" width="14.83203125" customWidth="1"/>
  </cols>
  <sheetData>
    <row r="1" spans="1:27" ht="51.75" customHeight="1">
      <c r="A1" s="49" t="s">
        <v>11</v>
      </c>
      <c r="B1" s="49" t="s">
        <v>12</v>
      </c>
      <c r="C1" s="50" t="s">
        <v>13</v>
      </c>
      <c r="D1" s="51" t="s">
        <v>14</v>
      </c>
      <c r="E1" s="51" t="s">
        <v>0</v>
      </c>
      <c r="F1" s="52" t="s">
        <v>15</v>
      </c>
      <c r="G1" s="53" t="s">
        <v>226</v>
      </c>
      <c r="H1" s="54"/>
      <c r="I1" s="55" t="s">
        <v>18</v>
      </c>
      <c r="J1" s="56" t="s">
        <v>227</v>
      </c>
      <c r="K1" s="57" t="s">
        <v>228</v>
      </c>
      <c r="L1" s="56" t="s">
        <v>229</v>
      </c>
      <c r="M1" s="58" t="s">
        <v>230</v>
      </c>
      <c r="N1" s="59" t="s">
        <v>231</v>
      </c>
      <c r="O1" s="60"/>
      <c r="P1" s="60"/>
      <c r="Q1" s="43"/>
      <c r="R1" s="43"/>
      <c r="S1" s="43"/>
      <c r="T1" s="43"/>
      <c r="U1" s="43"/>
      <c r="V1" s="43"/>
      <c r="W1" s="43"/>
      <c r="X1" s="43"/>
      <c r="Y1" s="43"/>
      <c r="Z1" s="43"/>
      <c r="AA1" s="43"/>
    </row>
    <row r="2" spans="1:27" ht="51.75" customHeight="1">
      <c r="A2" s="14">
        <v>45992</v>
      </c>
      <c r="B2" s="61">
        <v>46000</v>
      </c>
      <c r="C2" s="62" t="s">
        <v>24</v>
      </c>
      <c r="D2" s="16" t="s">
        <v>3</v>
      </c>
      <c r="E2" s="39" t="s">
        <v>10</v>
      </c>
      <c r="F2" s="39" t="s">
        <v>79</v>
      </c>
      <c r="G2" s="17" t="s">
        <v>232</v>
      </c>
      <c r="H2" s="63" t="s">
        <v>233</v>
      </c>
      <c r="I2" s="64" t="s">
        <v>60</v>
      </c>
      <c r="J2" s="21">
        <v>1031</v>
      </c>
      <c r="K2" s="21">
        <v>751</v>
      </c>
      <c r="L2" s="21">
        <v>256</v>
      </c>
      <c r="M2" s="27">
        <f t="shared" ref="M2:M30" si="0">L2/K2*100</f>
        <v>34.087882822902799</v>
      </c>
      <c r="N2" s="65"/>
      <c r="O2" s="66"/>
      <c r="P2" s="66"/>
      <c r="Q2" s="66"/>
      <c r="R2" s="66"/>
      <c r="S2" s="66"/>
      <c r="T2" s="66"/>
      <c r="U2" s="66"/>
      <c r="V2" s="66"/>
      <c r="W2" s="66"/>
      <c r="X2" s="66"/>
      <c r="Y2" s="66"/>
      <c r="Z2" s="66"/>
      <c r="AA2" s="66"/>
    </row>
    <row r="3" spans="1:27" ht="51.75" customHeight="1">
      <c r="A3" s="14">
        <v>45993</v>
      </c>
      <c r="B3" s="61">
        <v>46000</v>
      </c>
      <c r="C3" s="62" t="s">
        <v>24</v>
      </c>
      <c r="D3" s="16" t="s">
        <v>3</v>
      </c>
      <c r="E3" s="39" t="s">
        <v>10</v>
      </c>
      <c r="F3" s="39" t="s">
        <v>79</v>
      </c>
      <c r="G3" s="17" t="s">
        <v>232</v>
      </c>
      <c r="H3" s="63" t="s">
        <v>234</v>
      </c>
      <c r="I3" s="64" t="s">
        <v>235</v>
      </c>
      <c r="J3" s="21">
        <v>891</v>
      </c>
      <c r="K3" s="21">
        <v>639</v>
      </c>
      <c r="L3" s="21">
        <v>5</v>
      </c>
      <c r="M3" s="27">
        <f t="shared" si="0"/>
        <v>0.78247261345852892</v>
      </c>
      <c r="N3" s="65"/>
      <c r="O3" s="66"/>
      <c r="P3" s="66"/>
      <c r="Q3" s="66"/>
      <c r="R3" s="66"/>
      <c r="S3" s="66"/>
      <c r="T3" s="66"/>
      <c r="U3" s="66"/>
      <c r="V3" s="66"/>
      <c r="W3" s="66"/>
      <c r="X3" s="66"/>
      <c r="Y3" s="66"/>
      <c r="Z3" s="66"/>
      <c r="AA3" s="66"/>
    </row>
    <row r="4" spans="1:27" ht="51.75" customHeight="1">
      <c r="A4" s="14">
        <v>45994</v>
      </c>
      <c r="B4" s="61">
        <v>46000</v>
      </c>
      <c r="C4" s="62" t="s">
        <v>24</v>
      </c>
      <c r="D4" s="16" t="s">
        <v>3</v>
      </c>
      <c r="E4" s="39" t="s">
        <v>10</v>
      </c>
      <c r="F4" s="39" t="s">
        <v>79</v>
      </c>
      <c r="G4" s="17" t="s">
        <v>232</v>
      </c>
      <c r="H4" s="63" t="s">
        <v>236</v>
      </c>
      <c r="I4" s="64" t="s">
        <v>237</v>
      </c>
      <c r="J4" s="21">
        <v>739</v>
      </c>
      <c r="K4" s="21">
        <v>619</v>
      </c>
      <c r="L4" s="21">
        <v>287</v>
      </c>
      <c r="M4" s="27">
        <f t="shared" si="0"/>
        <v>46.365105008077542</v>
      </c>
      <c r="N4" s="65"/>
      <c r="O4" s="66"/>
      <c r="P4" s="66"/>
      <c r="Q4" s="66"/>
      <c r="R4" s="66"/>
      <c r="S4" s="66"/>
      <c r="T4" s="66"/>
      <c r="U4" s="66"/>
      <c r="V4" s="66"/>
      <c r="W4" s="66"/>
      <c r="X4" s="66"/>
      <c r="Y4" s="66"/>
      <c r="Z4" s="66"/>
      <c r="AA4" s="66"/>
    </row>
    <row r="5" spans="1:27" ht="51.75" customHeight="1">
      <c r="A5" s="14">
        <v>45995</v>
      </c>
      <c r="B5" s="61">
        <v>46000</v>
      </c>
      <c r="C5" s="62" t="s">
        <v>24</v>
      </c>
      <c r="D5" s="16" t="s">
        <v>3</v>
      </c>
      <c r="E5" s="39" t="s">
        <v>10</v>
      </c>
      <c r="F5" s="39" t="s">
        <v>79</v>
      </c>
      <c r="G5" s="17" t="s">
        <v>232</v>
      </c>
      <c r="H5" s="63" t="s">
        <v>238</v>
      </c>
      <c r="I5" s="64" t="s">
        <v>239</v>
      </c>
      <c r="J5" s="21">
        <v>684</v>
      </c>
      <c r="K5" s="21">
        <v>575</v>
      </c>
      <c r="L5" s="21">
        <v>6</v>
      </c>
      <c r="M5" s="27">
        <f t="shared" si="0"/>
        <v>1.0434782608695654</v>
      </c>
      <c r="N5" s="65"/>
      <c r="O5" s="66"/>
      <c r="P5" s="66"/>
      <c r="Q5" s="66"/>
      <c r="R5" s="66"/>
      <c r="S5" s="66"/>
      <c r="T5" s="66"/>
      <c r="U5" s="66"/>
      <c r="V5" s="66"/>
      <c r="W5" s="66"/>
      <c r="X5" s="66"/>
      <c r="Y5" s="66"/>
      <c r="Z5" s="66"/>
      <c r="AA5" s="66"/>
    </row>
    <row r="6" spans="1:27" ht="51.75" customHeight="1">
      <c r="A6" s="14">
        <v>45992</v>
      </c>
      <c r="B6" s="61">
        <v>45993</v>
      </c>
      <c r="C6" s="62" t="s">
        <v>24</v>
      </c>
      <c r="D6" s="17" t="s">
        <v>7</v>
      </c>
      <c r="E6" s="39" t="s">
        <v>8</v>
      </c>
      <c r="F6" s="39" t="s">
        <v>35</v>
      </c>
      <c r="G6" s="17" t="s">
        <v>240</v>
      </c>
      <c r="H6" s="18" t="s">
        <v>241</v>
      </c>
      <c r="I6" s="64" t="s">
        <v>242</v>
      </c>
      <c r="J6" s="21">
        <v>1143</v>
      </c>
      <c r="K6" s="21">
        <v>966</v>
      </c>
      <c r="L6" s="21">
        <v>85</v>
      </c>
      <c r="M6" s="27">
        <f t="shared" si="0"/>
        <v>8.7991718426501038</v>
      </c>
      <c r="N6" s="65"/>
      <c r="O6" s="66"/>
      <c r="P6" s="66"/>
      <c r="Q6" s="66"/>
      <c r="R6" s="66"/>
      <c r="S6" s="66"/>
      <c r="T6" s="66"/>
      <c r="U6" s="66"/>
      <c r="V6" s="66"/>
      <c r="W6" s="66"/>
      <c r="X6" s="66"/>
      <c r="Y6" s="66"/>
      <c r="Z6" s="66"/>
      <c r="AA6" s="66"/>
    </row>
    <row r="7" spans="1:27" ht="51.75" customHeight="1">
      <c r="A7" s="14">
        <v>45992</v>
      </c>
      <c r="B7" s="61">
        <v>45993</v>
      </c>
      <c r="C7" s="62" t="s">
        <v>24</v>
      </c>
      <c r="D7" s="16" t="s">
        <v>3</v>
      </c>
      <c r="E7" s="67" t="s">
        <v>8</v>
      </c>
      <c r="F7" s="39" t="s">
        <v>35</v>
      </c>
      <c r="G7" s="17" t="s">
        <v>240</v>
      </c>
      <c r="H7" s="18" t="s">
        <v>243</v>
      </c>
      <c r="I7" s="64" t="s">
        <v>244</v>
      </c>
      <c r="J7" s="21">
        <v>1787</v>
      </c>
      <c r="K7" s="21">
        <v>1355</v>
      </c>
      <c r="L7" s="21">
        <v>45</v>
      </c>
      <c r="M7" s="27">
        <f t="shared" si="0"/>
        <v>3.3210332103321036</v>
      </c>
      <c r="N7" s="65"/>
      <c r="O7" s="66"/>
      <c r="P7" s="66"/>
      <c r="Q7" s="66"/>
      <c r="R7" s="66"/>
      <c r="S7" s="66"/>
      <c r="T7" s="66"/>
      <c r="U7" s="66"/>
      <c r="V7" s="66"/>
      <c r="W7" s="66"/>
      <c r="X7" s="66"/>
      <c r="Y7" s="66"/>
      <c r="Z7" s="66"/>
      <c r="AA7" s="66"/>
    </row>
    <row r="8" spans="1:27" ht="51.75" customHeight="1">
      <c r="A8" s="14">
        <v>45992</v>
      </c>
      <c r="B8" s="61">
        <v>45993</v>
      </c>
      <c r="C8" s="62" t="s">
        <v>24</v>
      </c>
      <c r="D8" s="16" t="s">
        <v>1</v>
      </c>
      <c r="E8" s="39" t="s">
        <v>8</v>
      </c>
      <c r="F8" s="39" t="s">
        <v>35</v>
      </c>
      <c r="G8" s="17" t="s">
        <v>240</v>
      </c>
      <c r="H8" s="63" t="s">
        <v>243</v>
      </c>
      <c r="I8" s="64" t="s">
        <v>245</v>
      </c>
      <c r="J8" s="21">
        <v>13013</v>
      </c>
      <c r="K8" s="21">
        <v>11280</v>
      </c>
      <c r="L8" s="21">
        <v>100</v>
      </c>
      <c r="M8" s="27">
        <f t="shared" si="0"/>
        <v>0.88652482269503552</v>
      </c>
      <c r="N8" s="65"/>
      <c r="O8" s="66"/>
      <c r="P8" s="66"/>
      <c r="Q8" s="66"/>
      <c r="R8" s="66"/>
      <c r="S8" s="66"/>
      <c r="T8" s="66"/>
      <c r="U8" s="66"/>
      <c r="V8" s="66"/>
      <c r="W8" s="66"/>
      <c r="X8" s="66"/>
      <c r="Y8" s="66"/>
      <c r="Z8" s="66"/>
      <c r="AA8" s="66"/>
    </row>
    <row r="9" spans="1:27" ht="51.75" customHeight="1">
      <c r="A9" s="14">
        <v>45979</v>
      </c>
      <c r="B9" s="61">
        <v>45979</v>
      </c>
      <c r="C9" s="62" t="s">
        <v>24</v>
      </c>
      <c r="D9" s="16" t="s">
        <v>3</v>
      </c>
      <c r="E9" s="39" t="s">
        <v>10</v>
      </c>
      <c r="F9" s="39" t="s">
        <v>79</v>
      </c>
      <c r="G9" s="17" t="s">
        <v>246</v>
      </c>
      <c r="H9" s="63" t="s">
        <v>247</v>
      </c>
      <c r="I9" s="64" t="s">
        <v>248</v>
      </c>
      <c r="J9" s="21">
        <v>1119</v>
      </c>
      <c r="K9" s="21">
        <v>900</v>
      </c>
      <c r="L9" s="21">
        <v>266</v>
      </c>
      <c r="M9" s="27">
        <f t="shared" si="0"/>
        <v>29.555555555555557</v>
      </c>
      <c r="N9" s="65"/>
      <c r="O9" s="68"/>
      <c r="P9" s="66"/>
      <c r="Q9" s="66"/>
      <c r="R9" s="66"/>
      <c r="S9" s="66"/>
      <c r="T9" s="66"/>
      <c r="U9" s="66"/>
      <c r="V9" s="66"/>
      <c r="W9" s="66"/>
      <c r="X9" s="66"/>
      <c r="Y9" s="66"/>
      <c r="Z9" s="66"/>
      <c r="AA9" s="66"/>
    </row>
    <row r="10" spans="1:27" ht="51.75" customHeight="1">
      <c r="A10" s="14">
        <v>45979</v>
      </c>
      <c r="B10" s="61">
        <v>45979</v>
      </c>
      <c r="C10" s="62" t="s">
        <v>24</v>
      </c>
      <c r="D10" s="16" t="s">
        <v>3</v>
      </c>
      <c r="E10" s="39" t="s">
        <v>10</v>
      </c>
      <c r="F10" s="39" t="s">
        <v>79</v>
      </c>
      <c r="G10" s="17" t="s">
        <v>246</v>
      </c>
      <c r="H10" s="63" t="s">
        <v>249</v>
      </c>
      <c r="I10" s="64" t="s">
        <v>248</v>
      </c>
      <c r="J10" s="21">
        <v>1030</v>
      </c>
      <c r="K10" s="21">
        <v>773</v>
      </c>
      <c r="L10" s="21">
        <v>15</v>
      </c>
      <c r="M10" s="27">
        <f t="shared" si="0"/>
        <v>1.9404915912031047</v>
      </c>
      <c r="N10" s="65"/>
      <c r="O10" s="68"/>
      <c r="P10" s="66"/>
      <c r="Q10" s="66"/>
      <c r="R10" s="66"/>
      <c r="S10" s="66"/>
      <c r="T10" s="66"/>
      <c r="U10" s="66"/>
      <c r="V10" s="66"/>
      <c r="W10" s="66"/>
      <c r="X10" s="66"/>
      <c r="Y10" s="66"/>
      <c r="Z10" s="66"/>
      <c r="AA10" s="66"/>
    </row>
    <row r="11" spans="1:27" ht="51.75" customHeight="1">
      <c r="A11" s="14">
        <v>45975</v>
      </c>
      <c r="B11" s="61">
        <v>45975</v>
      </c>
      <c r="C11" s="62" t="s">
        <v>24</v>
      </c>
      <c r="D11" s="16" t="s">
        <v>3</v>
      </c>
      <c r="E11" s="39" t="s">
        <v>10</v>
      </c>
      <c r="F11" s="39" t="s">
        <v>79</v>
      </c>
      <c r="G11" s="17" t="s">
        <v>250</v>
      </c>
      <c r="H11" s="63" t="s">
        <v>251</v>
      </c>
      <c r="I11" s="64" t="s">
        <v>252</v>
      </c>
      <c r="J11" s="21">
        <v>1111</v>
      </c>
      <c r="K11" s="21">
        <v>798</v>
      </c>
      <c r="L11" s="21">
        <v>25</v>
      </c>
      <c r="M11" s="27">
        <f t="shared" si="0"/>
        <v>3.132832080200501</v>
      </c>
      <c r="N11" s="65"/>
      <c r="O11" s="68"/>
      <c r="P11" s="66"/>
      <c r="Q11" s="66"/>
      <c r="R11" s="66"/>
      <c r="S11" s="66"/>
      <c r="T11" s="66"/>
      <c r="U11" s="66"/>
      <c r="V11" s="66"/>
      <c r="W11" s="66"/>
      <c r="X11" s="66"/>
      <c r="Y11" s="66"/>
      <c r="Z11" s="66"/>
      <c r="AA11" s="66"/>
    </row>
    <row r="12" spans="1:27" ht="51.75" customHeight="1">
      <c r="A12" s="14">
        <v>45962</v>
      </c>
      <c r="B12" s="61">
        <v>45974</v>
      </c>
      <c r="C12" s="62" t="s">
        <v>24</v>
      </c>
      <c r="D12" s="16" t="s">
        <v>1</v>
      </c>
      <c r="E12" s="39" t="s">
        <v>4</v>
      </c>
      <c r="F12" s="39" t="s">
        <v>79</v>
      </c>
      <c r="G12" s="17" t="s">
        <v>253</v>
      </c>
      <c r="H12" s="63" t="s">
        <v>254</v>
      </c>
      <c r="I12" s="64" t="s">
        <v>255</v>
      </c>
      <c r="J12" s="21">
        <v>11201</v>
      </c>
      <c r="K12" s="21">
        <v>7984</v>
      </c>
      <c r="L12" s="21">
        <v>66</v>
      </c>
      <c r="M12" s="27">
        <f t="shared" si="0"/>
        <v>0.82665330661322645</v>
      </c>
      <c r="N12" s="65"/>
      <c r="O12" s="68"/>
      <c r="P12" s="66"/>
      <c r="Q12" s="66"/>
      <c r="R12" s="66"/>
      <c r="S12" s="66"/>
      <c r="T12" s="66"/>
      <c r="U12" s="66"/>
      <c r="V12" s="66"/>
      <c r="W12" s="66"/>
      <c r="X12" s="66"/>
      <c r="Y12" s="66"/>
      <c r="Z12" s="66"/>
      <c r="AA12" s="66"/>
    </row>
    <row r="13" spans="1:27" ht="51.75" customHeight="1">
      <c r="A13" s="14">
        <v>45974</v>
      </c>
      <c r="B13" s="61">
        <v>45974</v>
      </c>
      <c r="C13" s="62" t="s">
        <v>24</v>
      </c>
      <c r="D13" s="16" t="s">
        <v>3</v>
      </c>
      <c r="E13" s="39" t="s">
        <v>10</v>
      </c>
      <c r="F13" s="39" t="s">
        <v>79</v>
      </c>
      <c r="G13" s="17" t="s">
        <v>250</v>
      </c>
      <c r="H13" s="63" t="s">
        <v>256</v>
      </c>
      <c r="I13" s="64" t="s">
        <v>252</v>
      </c>
      <c r="J13" s="21">
        <v>1228</v>
      </c>
      <c r="K13" s="21">
        <v>951</v>
      </c>
      <c r="L13" s="21">
        <v>229</v>
      </c>
      <c r="M13" s="27">
        <f t="shared" si="0"/>
        <v>24.079915878023133</v>
      </c>
      <c r="N13" s="65"/>
      <c r="O13" s="68"/>
      <c r="P13" s="66"/>
      <c r="Q13" s="66"/>
      <c r="R13" s="66"/>
      <c r="S13" s="66"/>
      <c r="T13" s="66"/>
      <c r="U13" s="66"/>
      <c r="V13" s="66"/>
      <c r="W13" s="66"/>
      <c r="X13" s="66"/>
      <c r="Y13" s="66"/>
      <c r="Z13" s="66"/>
      <c r="AA13" s="66"/>
    </row>
    <row r="14" spans="1:27" ht="51.75" customHeight="1">
      <c r="A14" s="14">
        <v>45931</v>
      </c>
      <c r="B14" s="61">
        <v>45960</v>
      </c>
      <c r="C14" s="62" t="s">
        <v>24</v>
      </c>
      <c r="D14" s="16" t="s">
        <v>1</v>
      </c>
      <c r="E14" s="39" t="s">
        <v>8</v>
      </c>
      <c r="F14" s="39" t="s">
        <v>35</v>
      </c>
      <c r="G14" s="17" t="s">
        <v>257</v>
      </c>
      <c r="H14" s="18" t="s">
        <v>258</v>
      </c>
      <c r="I14" s="64" t="s">
        <v>259</v>
      </c>
      <c r="J14" s="21">
        <v>8429</v>
      </c>
      <c r="K14" s="21">
        <v>7048</v>
      </c>
      <c r="L14" s="21">
        <v>62</v>
      </c>
      <c r="M14" s="27">
        <f t="shared" si="0"/>
        <v>0.87968217934165716</v>
      </c>
      <c r="N14" s="65"/>
      <c r="O14" s="68"/>
      <c r="P14" s="66"/>
      <c r="Q14" s="66"/>
      <c r="R14" s="66"/>
      <c r="S14" s="66"/>
      <c r="T14" s="66"/>
      <c r="U14" s="66"/>
      <c r="V14" s="66"/>
      <c r="W14" s="66"/>
      <c r="X14" s="66"/>
      <c r="Y14" s="66"/>
      <c r="Z14" s="66"/>
      <c r="AA14" s="66"/>
    </row>
    <row r="15" spans="1:27" ht="51.75" customHeight="1">
      <c r="A15" s="14">
        <v>45960</v>
      </c>
      <c r="B15" s="61">
        <v>45960</v>
      </c>
      <c r="C15" s="62" t="s">
        <v>24</v>
      </c>
      <c r="D15" s="16" t="s">
        <v>3</v>
      </c>
      <c r="E15" s="67" t="s">
        <v>8</v>
      </c>
      <c r="F15" s="39" t="s">
        <v>35</v>
      </c>
      <c r="G15" s="17" t="s">
        <v>257</v>
      </c>
      <c r="H15" s="18" t="s">
        <v>260</v>
      </c>
      <c r="I15" s="64" t="s">
        <v>261</v>
      </c>
      <c r="J15" s="21">
        <v>107927</v>
      </c>
      <c r="K15" s="21">
        <v>77535</v>
      </c>
      <c r="L15" s="21">
        <v>5253</v>
      </c>
      <c r="M15" s="27">
        <f t="shared" si="0"/>
        <v>6.7750048365254401</v>
      </c>
      <c r="N15" s="65"/>
      <c r="O15" s="68"/>
      <c r="P15" s="66"/>
      <c r="Q15" s="66"/>
      <c r="R15" s="66"/>
      <c r="S15" s="66"/>
      <c r="T15" s="66"/>
      <c r="U15" s="66"/>
      <c r="V15" s="66"/>
      <c r="W15" s="66"/>
      <c r="X15" s="66"/>
      <c r="Y15" s="66"/>
      <c r="Z15" s="66"/>
      <c r="AA15" s="66"/>
    </row>
    <row r="16" spans="1:27" ht="51.75" customHeight="1">
      <c r="A16" s="14">
        <v>45931</v>
      </c>
      <c r="B16" s="61">
        <v>45960</v>
      </c>
      <c r="C16" s="62" t="s">
        <v>24</v>
      </c>
      <c r="D16" s="17" t="s">
        <v>7</v>
      </c>
      <c r="E16" s="39" t="s">
        <v>8</v>
      </c>
      <c r="F16" s="39" t="s">
        <v>35</v>
      </c>
      <c r="G16" s="17" t="s">
        <v>257</v>
      </c>
      <c r="H16" s="18" t="s">
        <v>260</v>
      </c>
      <c r="I16" s="64" t="s">
        <v>262</v>
      </c>
      <c r="J16" s="21">
        <v>6300</v>
      </c>
      <c r="K16" s="21">
        <v>5500</v>
      </c>
      <c r="L16" s="21">
        <v>480</v>
      </c>
      <c r="M16" s="27">
        <f t="shared" si="0"/>
        <v>8.7272727272727284</v>
      </c>
      <c r="N16" s="65"/>
      <c r="O16" s="68"/>
      <c r="P16" s="66"/>
      <c r="Q16" s="66"/>
      <c r="R16" s="66"/>
      <c r="S16" s="66"/>
      <c r="T16" s="66"/>
      <c r="U16" s="66"/>
      <c r="V16" s="66"/>
      <c r="W16" s="66"/>
      <c r="X16" s="66"/>
      <c r="Y16" s="66"/>
      <c r="Z16" s="66"/>
      <c r="AA16" s="66"/>
    </row>
    <row r="17" spans="1:27" ht="51.75" customHeight="1">
      <c r="A17" s="14">
        <v>45931</v>
      </c>
      <c r="B17" s="61">
        <v>45960</v>
      </c>
      <c r="C17" s="62" t="s">
        <v>24</v>
      </c>
      <c r="D17" s="17" t="s">
        <v>9</v>
      </c>
      <c r="E17" s="39" t="s">
        <v>8</v>
      </c>
      <c r="F17" s="39" t="s">
        <v>35</v>
      </c>
      <c r="G17" s="17" t="s">
        <v>257</v>
      </c>
      <c r="H17" s="18" t="s">
        <v>263</v>
      </c>
      <c r="I17" s="64" t="s">
        <v>264</v>
      </c>
      <c r="J17" s="21">
        <v>2111</v>
      </c>
      <c r="K17" s="21">
        <v>1100</v>
      </c>
      <c r="L17" s="21">
        <v>52</v>
      </c>
      <c r="M17" s="27">
        <f t="shared" si="0"/>
        <v>4.7272727272727275</v>
      </c>
      <c r="N17" s="65"/>
      <c r="O17" s="68"/>
      <c r="P17" s="66"/>
      <c r="Q17" s="66"/>
      <c r="R17" s="66"/>
      <c r="S17" s="66"/>
      <c r="T17" s="66"/>
      <c r="U17" s="66"/>
      <c r="V17" s="66"/>
      <c r="W17" s="66"/>
      <c r="X17" s="66"/>
      <c r="Y17" s="66"/>
      <c r="Z17" s="66"/>
      <c r="AA17" s="66"/>
    </row>
    <row r="18" spans="1:27" ht="51.75" customHeight="1">
      <c r="A18" s="14">
        <v>45959</v>
      </c>
      <c r="B18" s="61">
        <v>45959</v>
      </c>
      <c r="C18" s="62" t="s">
        <v>24</v>
      </c>
      <c r="D18" s="16" t="s">
        <v>3</v>
      </c>
      <c r="E18" s="39" t="s">
        <v>6</v>
      </c>
      <c r="F18" s="39" t="s">
        <v>196</v>
      </c>
      <c r="G18" s="17" t="s">
        <v>265</v>
      </c>
      <c r="H18" s="63" t="s">
        <v>266</v>
      </c>
      <c r="I18" s="64" t="s">
        <v>267</v>
      </c>
      <c r="J18" s="21">
        <v>2402</v>
      </c>
      <c r="K18" s="21">
        <v>1657</v>
      </c>
      <c r="L18" s="21">
        <v>20</v>
      </c>
      <c r="M18" s="27">
        <f t="shared" si="0"/>
        <v>1.2070006035003018</v>
      </c>
      <c r="N18" s="65"/>
      <c r="O18" s="68"/>
      <c r="P18" s="66"/>
      <c r="Q18" s="66"/>
      <c r="R18" s="66"/>
      <c r="S18" s="66"/>
      <c r="T18" s="66"/>
      <c r="U18" s="66"/>
      <c r="V18" s="66"/>
      <c r="W18" s="66"/>
      <c r="X18" s="66"/>
      <c r="Y18" s="66"/>
      <c r="Z18" s="66"/>
      <c r="AA18" s="66"/>
    </row>
    <row r="19" spans="1:27" ht="51.75" customHeight="1">
      <c r="A19" s="14">
        <v>45931</v>
      </c>
      <c r="B19" s="61">
        <v>45951</v>
      </c>
      <c r="C19" s="62" t="s">
        <v>24</v>
      </c>
      <c r="D19" s="16" t="s">
        <v>3</v>
      </c>
      <c r="E19" s="67" t="s">
        <v>10</v>
      </c>
      <c r="F19" s="39" t="s">
        <v>35</v>
      </c>
      <c r="G19" s="17" t="s">
        <v>268</v>
      </c>
      <c r="H19" s="18" t="s">
        <v>269</v>
      </c>
      <c r="I19" s="64" t="s">
        <v>270</v>
      </c>
      <c r="J19" s="21">
        <v>1166</v>
      </c>
      <c r="K19" s="21">
        <v>953</v>
      </c>
      <c r="L19" s="21">
        <v>122</v>
      </c>
      <c r="M19" s="27">
        <f t="shared" si="0"/>
        <v>12.801678908709338</v>
      </c>
      <c r="N19" s="65"/>
      <c r="O19" s="68"/>
      <c r="P19" s="66"/>
      <c r="Q19" s="66"/>
      <c r="R19" s="66"/>
      <c r="S19" s="66"/>
      <c r="T19" s="66"/>
      <c r="U19" s="66"/>
      <c r="V19" s="66"/>
      <c r="W19" s="66"/>
      <c r="X19" s="66"/>
      <c r="Y19" s="66"/>
      <c r="Z19" s="66"/>
      <c r="AA19" s="66"/>
    </row>
    <row r="20" spans="1:27" ht="51.75" customHeight="1">
      <c r="A20" s="14">
        <v>45931</v>
      </c>
      <c r="B20" s="61">
        <v>45951</v>
      </c>
      <c r="C20" s="62" t="s">
        <v>24</v>
      </c>
      <c r="D20" s="16" t="s">
        <v>3</v>
      </c>
      <c r="E20" s="67" t="s">
        <v>10</v>
      </c>
      <c r="F20" s="39" t="s">
        <v>35</v>
      </c>
      <c r="G20" s="17" t="s">
        <v>271</v>
      </c>
      <c r="H20" s="18" t="s">
        <v>272</v>
      </c>
      <c r="I20" s="64" t="s">
        <v>270</v>
      </c>
      <c r="J20" s="21">
        <v>1033</v>
      </c>
      <c r="K20" s="21">
        <v>816</v>
      </c>
      <c r="L20" s="21">
        <v>13</v>
      </c>
      <c r="M20" s="27">
        <f t="shared" si="0"/>
        <v>1.5931372549019607</v>
      </c>
      <c r="N20" s="65"/>
      <c r="O20" s="68"/>
      <c r="P20" s="66"/>
      <c r="Q20" s="66"/>
      <c r="R20" s="66"/>
      <c r="S20" s="66"/>
      <c r="T20" s="66"/>
      <c r="U20" s="66"/>
      <c r="V20" s="66"/>
      <c r="W20" s="66"/>
      <c r="X20" s="66"/>
      <c r="Y20" s="66"/>
      <c r="Z20" s="66"/>
      <c r="AA20" s="66"/>
    </row>
    <row r="21" spans="1:27" ht="51.75" customHeight="1">
      <c r="A21" s="14">
        <v>45931</v>
      </c>
      <c r="B21" s="61">
        <v>45951</v>
      </c>
      <c r="C21" s="62" t="s">
        <v>24</v>
      </c>
      <c r="D21" s="16" t="s">
        <v>3</v>
      </c>
      <c r="E21" s="67" t="s">
        <v>10</v>
      </c>
      <c r="F21" s="39" t="s">
        <v>35</v>
      </c>
      <c r="G21" s="17" t="s">
        <v>273</v>
      </c>
      <c r="H21" s="18" t="s">
        <v>274</v>
      </c>
      <c r="I21" s="64" t="s">
        <v>270</v>
      </c>
      <c r="J21" s="21">
        <v>974</v>
      </c>
      <c r="K21" s="21">
        <v>760</v>
      </c>
      <c r="L21" s="21">
        <v>231</v>
      </c>
      <c r="M21" s="27">
        <f t="shared" si="0"/>
        <v>30.394736842105264</v>
      </c>
      <c r="N21" s="65"/>
      <c r="O21" s="68"/>
      <c r="P21" s="66"/>
      <c r="Q21" s="66"/>
      <c r="R21" s="66"/>
      <c r="S21" s="66"/>
      <c r="T21" s="66"/>
      <c r="U21" s="66"/>
      <c r="V21" s="66"/>
      <c r="W21" s="66"/>
      <c r="X21" s="66"/>
      <c r="Y21" s="66"/>
      <c r="Z21" s="66"/>
      <c r="AA21" s="66"/>
    </row>
    <row r="22" spans="1:27" ht="51.75" customHeight="1">
      <c r="A22" s="14">
        <v>45931</v>
      </c>
      <c r="B22" s="61">
        <v>45951</v>
      </c>
      <c r="C22" s="62" t="s">
        <v>24</v>
      </c>
      <c r="D22" s="16" t="s">
        <v>3</v>
      </c>
      <c r="E22" s="67" t="s">
        <v>10</v>
      </c>
      <c r="F22" s="39" t="s">
        <v>35</v>
      </c>
      <c r="G22" s="17" t="s">
        <v>273</v>
      </c>
      <c r="H22" s="18" t="s">
        <v>275</v>
      </c>
      <c r="I22" s="64" t="s">
        <v>270</v>
      </c>
      <c r="J22" s="21">
        <v>939</v>
      </c>
      <c r="K22" s="21">
        <v>678</v>
      </c>
      <c r="L22" s="21">
        <v>16</v>
      </c>
      <c r="M22" s="27">
        <f t="shared" si="0"/>
        <v>2.359882005899705</v>
      </c>
      <c r="N22" s="65"/>
      <c r="O22" s="68"/>
      <c r="P22" s="66"/>
      <c r="Q22" s="66"/>
      <c r="R22" s="66"/>
      <c r="S22" s="66"/>
      <c r="T22" s="66"/>
      <c r="U22" s="66"/>
      <c r="V22" s="66"/>
      <c r="W22" s="66"/>
      <c r="X22" s="66"/>
      <c r="Y22" s="66"/>
      <c r="Z22" s="66"/>
      <c r="AA22" s="66"/>
    </row>
    <row r="23" spans="1:27" ht="52.5" customHeight="1">
      <c r="A23" s="69">
        <v>45901</v>
      </c>
      <c r="B23" s="70">
        <v>45930</v>
      </c>
      <c r="C23" s="62" t="s">
        <v>24</v>
      </c>
      <c r="D23" s="17" t="s">
        <v>3</v>
      </c>
      <c r="E23" s="39" t="s">
        <v>10</v>
      </c>
      <c r="F23" s="39" t="s">
        <v>79</v>
      </c>
      <c r="G23" s="17" t="s">
        <v>276</v>
      </c>
      <c r="H23" s="63" t="s">
        <v>277</v>
      </c>
      <c r="I23" s="64" t="s">
        <v>278</v>
      </c>
      <c r="J23" s="21">
        <v>1072</v>
      </c>
      <c r="K23" s="21">
        <v>948</v>
      </c>
      <c r="L23" s="21">
        <v>14</v>
      </c>
      <c r="M23" s="27">
        <f t="shared" si="0"/>
        <v>1.4767932489451476</v>
      </c>
      <c r="N23" s="71"/>
      <c r="O23" s="68"/>
      <c r="P23" s="66"/>
      <c r="Q23" s="66"/>
      <c r="R23" s="66"/>
      <c r="S23" s="66"/>
      <c r="T23" s="66"/>
      <c r="U23" s="66"/>
      <c r="V23" s="66"/>
      <c r="W23" s="66"/>
      <c r="X23" s="66"/>
      <c r="Y23" s="66"/>
      <c r="Z23" s="66"/>
      <c r="AA23" s="66"/>
    </row>
    <row r="24" spans="1:27" ht="52.5" customHeight="1">
      <c r="A24" s="69">
        <v>45901</v>
      </c>
      <c r="B24" s="70">
        <v>45930</v>
      </c>
      <c r="C24" s="62" t="s">
        <v>24</v>
      </c>
      <c r="D24" s="17" t="s">
        <v>3</v>
      </c>
      <c r="E24" s="39" t="s">
        <v>10</v>
      </c>
      <c r="F24" s="39" t="s">
        <v>79</v>
      </c>
      <c r="G24" s="17" t="s">
        <v>276</v>
      </c>
      <c r="H24" s="63" t="s">
        <v>279</v>
      </c>
      <c r="I24" s="64" t="s">
        <v>278</v>
      </c>
      <c r="J24" s="21">
        <v>1004</v>
      </c>
      <c r="K24" s="21">
        <v>817</v>
      </c>
      <c r="L24" s="21">
        <v>206</v>
      </c>
      <c r="M24" s="27">
        <f t="shared" si="0"/>
        <v>25.214198286413708</v>
      </c>
      <c r="N24" s="71"/>
      <c r="O24" s="66"/>
      <c r="P24" s="66"/>
      <c r="Q24" s="66"/>
      <c r="R24" s="66"/>
      <c r="S24" s="66"/>
      <c r="T24" s="66"/>
      <c r="U24" s="66"/>
      <c r="V24" s="66"/>
      <c r="W24" s="66"/>
      <c r="X24" s="66"/>
      <c r="Y24" s="66"/>
      <c r="Z24" s="66"/>
      <c r="AA24" s="66"/>
    </row>
    <row r="25" spans="1:27" ht="52.5" customHeight="1">
      <c r="A25" s="69">
        <v>45901</v>
      </c>
      <c r="B25" s="70">
        <v>45930</v>
      </c>
      <c r="C25" s="62" t="s">
        <v>24</v>
      </c>
      <c r="D25" s="17" t="s">
        <v>3</v>
      </c>
      <c r="E25" s="39" t="s">
        <v>10</v>
      </c>
      <c r="F25" s="39" t="s">
        <v>79</v>
      </c>
      <c r="G25" s="17" t="s">
        <v>276</v>
      </c>
      <c r="H25" s="63" t="s">
        <v>280</v>
      </c>
      <c r="I25" s="64" t="s">
        <v>278</v>
      </c>
      <c r="J25" s="21">
        <v>939</v>
      </c>
      <c r="K25" s="21">
        <v>749</v>
      </c>
      <c r="L25" s="21">
        <v>9</v>
      </c>
      <c r="M25" s="27">
        <f t="shared" si="0"/>
        <v>1.2016021361815754</v>
      </c>
      <c r="N25" s="71"/>
      <c r="O25" s="68"/>
      <c r="P25" s="66"/>
      <c r="Q25" s="66"/>
      <c r="R25" s="66"/>
      <c r="S25" s="66"/>
      <c r="T25" s="66"/>
      <c r="U25" s="66"/>
      <c r="V25" s="66"/>
      <c r="W25" s="66"/>
      <c r="X25" s="66"/>
      <c r="Y25" s="66"/>
      <c r="Z25" s="66"/>
      <c r="AA25" s="66"/>
    </row>
    <row r="26" spans="1:27" ht="52.5" customHeight="1">
      <c r="A26" s="69">
        <v>45901</v>
      </c>
      <c r="B26" s="70">
        <v>45930</v>
      </c>
      <c r="C26" s="62" t="s">
        <v>24</v>
      </c>
      <c r="D26" s="17" t="s">
        <v>3</v>
      </c>
      <c r="E26" s="39" t="s">
        <v>10</v>
      </c>
      <c r="F26" s="39" t="s">
        <v>79</v>
      </c>
      <c r="G26" s="17" t="s">
        <v>276</v>
      </c>
      <c r="H26" s="63" t="s">
        <v>281</v>
      </c>
      <c r="I26" s="64" t="s">
        <v>278</v>
      </c>
      <c r="J26" s="21">
        <v>895</v>
      </c>
      <c r="K26" s="21">
        <v>728</v>
      </c>
      <c r="L26" s="21">
        <v>215</v>
      </c>
      <c r="M26" s="27">
        <f t="shared" si="0"/>
        <v>29.532967032967033</v>
      </c>
      <c r="N26" s="71"/>
      <c r="O26" s="68"/>
      <c r="P26" s="66"/>
      <c r="Q26" s="66"/>
      <c r="R26" s="66"/>
      <c r="S26" s="66"/>
      <c r="T26" s="66"/>
      <c r="U26" s="66"/>
      <c r="V26" s="66"/>
      <c r="W26" s="66"/>
      <c r="X26" s="66"/>
      <c r="Y26" s="66"/>
      <c r="Z26" s="66"/>
      <c r="AA26" s="66"/>
    </row>
    <row r="27" spans="1:27" ht="52.5" customHeight="1">
      <c r="A27" s="69">
        <v>45901</v>
      </c>
      <c r="B27" s="70">
        <v>45930</v>
      </c>
      <c r="C27" s="62" t="s">
        <v>24</v>
      </c>
      <c r="D27" s="17" t="s">
        <v>3</v>
      </c>
      <c r="E27" s="39" t="s">
        <v>10</v>
      </c>
      <c r="F27" s="39" t="s">
        <v>79</v>
      </c>
      <c r="G27" s="17" t="s">
        <v>276</v>
      </c>
      <c r="H27" s="63" t="s">
        <v>282</v>
      </c>
      <c r="I27" s="64" t="s">
        <v>278</v>
      </c>
      <c r="J27" s="21">
        <v>838</v>
      </c>
      <c r="K27" s="21">
        <v>704</v>
      </c>
      <c r="L27" s="21">
        <v>9</v>
      </c>
      <c r="M27" s="27">
        <f t="shared" si="0"/>
        <v>1.2784090909090911</v>
      </c>
      <c r="N27" s="71"/>
      <c r="O27" s="68"/>
      <c r="P27" s="66"/>
      <c r="Q27" s="66"/>
      <c r="R27" s="66"/>
      <c r="S27" s="66"/>
      <c r="T27" s="66"/>
      <c r="U27" s="66"/>
      <c r="V27" s="66"/>
      <c r="W27" s="66"/>
      <c r="X27" s="66"/>
      <c r="Y27" s="66"/>
      <c r="Z27" s="66"/>
      <c r="AA27" s="66"/>
    </row>
    <row r="28" spans="1:27" ht="52.5" customHeight="1">
      <c r="A28" s="69">
        <v>45901</v>
      </c>
      <c r="B28" s="70">
        <v>45930</v>
      </c>
      <c r="C28" s="62" t="s">
        <v>24</v>
      </c>
      <c r="D28" s="17" t="s">
        <v>3</v>
      </c>
      <c r="E28" s="39" t="s">
        <v>10</v>
      </c>
      <c r="F28" s="39" t="s">
        <v>79</v>
      </c>
      <c r="G28" s="17" t="s">
        <v>276</v>
      </c>
      <c r="H28" s="63" t="s">
        <v>283</v>
      </c>
      <c r="I28" s="64" t="s">
        <v>278</v>
      </c>
      <c r="J28" s="21">
        <v>823</v>
      </c>
      <c r="K28" s="21">
        <v>682</v>
      </c>
      <c r="L28" s="21">
        <v>212</v>
      </c>
      <c r="M28" s="27">
        <f t="shared" si="0"/>
        <v>31.085043988269796</v>
      </c>
      <c r="N28" s="71"/>
      <c r="O28" s="66"/>
      <c r="P28" s="66"/>
      <c r="Q28" s="66"/>
      <c r="R28" s="66"/>
      <c r="S28" s="66"/>
      <c r="T28" s="66"/>
      <c r="U28" s="66"/>
      <c r="V28" s="66"/>
      <c r="W28" s="66"/>
      <c r="X28" s="66"/>
      <c r="Y28" s="66"/>
      <c r="Z28" s="66"/>
      <c r="AA28" s="66"/>
    </row>
    <row r="29" spans="1:27" ht="52.5" customHeight="1">
      <c r="A29" s="69">
        <v>45901</v>
      </c>
      <c r="B29" s="70">
        <v>45930</v>
      </c>
      <c r="C29" s="62" t="s">
        <v>24</v>
      </c>
      <c r="D29" s="17" t="s">
        <v>3</v>
      </c>
      <c r="E29" s="39" t="s">
        <v>10</v>
      </c>
      <c r="F29" s="39" t="s">
        <v>79</v>
      </c>
      <c r="G29" s="17" t="s">
        <v>276</v>
      </c>
      <c r="H29" s="63" t="s">
        <v>284</v>
      </c>
      <c r="I29" s="64" t="s">
        <v>278</v>
      </c>
      <c r="J29" s="21">
        <v>791</v>
      </c>
      <c r="K29" s="21">
        <v>661</v>
      </c>
      <c r="L29" s="21">
        <v>7</v>
      </c>
      <c r="M29" s="27">
        <f t="shared" si="0"/>
        <v>1.059001512859304</v>
      </c>
      <c r="N29" s="71"/>
      <c r="O29" s="66"/>
      <c r="P29" s="66"/>
      <c r="Q29" s="66"/>
      <c r="R29" s="66"/>
      <c r="S29" s="66"/>
      <c r="T29" s="66"/>
      <c r="U29" s="66"/>
      <c r="V29" s="66"/>
      <c r="W29" s="66"/>
      <c r="X29" s="66"/>
      <c r="Y29" s="66"/>
      <c r="Z29" s="66"/>
      <c r="AA29" s="66"/>
    </row>
    <row r="30" spans="1:27" ht="52.5" customHeight="1">
      <c r="A30" s="69">
        <v>45901</v>
      </c>
      <c r="B30" s="70">
        <v>45930</v>
      </c>
      <c r="C30" s="62" t="s">
        <v>24</v>
      </c>
      <c r="D30" s="17" t="s">
        <v>3</v>
      </c>
      <c r="E30" s="39" t="s">
        <v>10</v>
      </c>
      <c r="F30" s="39" t="s">
        <v>79</v>
      </c>
      <c r="G30" s="17" t="s">
        <v>276</v>
      </c>
      <c r="H30" s="63" t="s">
        <v>285</v>
      </c>
      <c r="I30" s="64" t="s">
        <v>278</v>
      </c>
      <c r="J30" s="21">
        <v>711</v>
      </c>
      <c r="K30" s="21">
        <v>616</v>
      </c>
      <c r="L30" s="21">
        <v>6</v>
      </c>
      <c r="M30" s="27">
        <f t="shared" si="0"/>
        <v>0.97402597402597402</v>
      </c>
      <c r="N30" s="71"/>
      <c r="O30" s="68"/>
      <c r="P30" s="66"/>
      <c r="Q30" s="66"/>
      <c r="R30" s="66"/>
      <c r="S30" s="66"/>
      <c r="T30" s="66"/>
      <c r="U30" s="66"/>
      <c r="V30" s="66"/>
      <c r="W30" s="66"/>
      <c r="X30" s="66"/>
      <c r="Y30" s="66"/>
      <c r="Z30" s="66"/>
      <c r="AA30" s="66"/>
    </row>
    <row r="31" spans="1:27" ht="52.5" customHeight="1">
      <c r="A31" s="72"/>
      <c r="B31" s="73"/>
      <c r="C31" s="60"/>
      <c r="D31" s="74"/>
      <c r="E31" s="60"/>
      <c r="F31" s="60"/>
      <c r="G31" s="74"/>
      <c r="H31" s="75"/>
      <c r="I31" s="76"/>
      <c r="J31" s="77"/>
      <c r="K31" s="77"/>
      <c r="L31" s="77"/>
      <c r="M31" s="78"/>
      <c r="N31" s="79"/>
      <c r="O31" s="42"/>
    </row>
    <row r="32" spans="1:27" ht="52.5" customHeight="1">
      <c r="A32" s="72"/>
      <c r="B32" s="73"/>
      <c r="C32" s="60"/>
      <c r="D32" s="74"/>
      <c r="E32" s="60"/>
      <c r="F32" s="60"/>
      <c r="G32" s="74"/>
      <c r="H32" s="75"/>
      <c r="I32" s="76"/>
      <c r="J32" s="77"/>
      <c r="K32" s="77"/>
      <c r="L32" s="77"/>
      <c r="M32" s="78"/>
      <c r="N32" s="79"/>
      <c r="O32" s="42"/>
    </row>
    <row r="33" spans="1:15" ht="52.5" customHeight="1">
      <c r="A33" s="72"/>
      <c r="B33" s="73"/>
      <c r="C33" s="60"/>
      <c r="D33" s="74"/>
      <c r="E33" s="60"/>
      <c r="F33" s="60"/>
      <c r="G33" s="74"/>
      <c r="H33" s="75"/>
      <c r="I33" s="76"/>
      <c r="J33" s="77"/>
      <c r="K33" s="77"/>
      <c r="L33" s="77"/>
      <c r="M33" s="78"/>
      <c r="N33" s="79"/>
      <c r="O33" s="42"/>
    </row>
    <row r="34" spans="1:15" ht="52.5" customHeight="1">
      <c r="A34" s="72"/>
      <c r="B34" s="73"/>
      <c r="C34" s="60"/>
      <c r="D34" s="74"/>
      <c r="E34" s="60"/>
      <c r="F34" s="60"/>
      <c r="G34" s="74"/>
      <c r="H34" s="75"/>
      <c r="I34" s="76"/>
      <c r="J34" s="80"/>
      <c r="K34" s="77"/>
      <c r="L34" s="77"/>
      <c r="M34" s="78"/>
      <c r="N34" s="79"/>
      <c r="O34" s="42"/>
    </row>
    <row r="35" spans="1:15" ht="52.5" customHeight="1">
      <c r="A35" s="72"/>
      <c r="B35" s="73"/>
      <c r="C35" s="60"/>
      <c r="D35" s="74"/>
      <c r="E35" s="60"/>
      <c r="F35" s="60"/>
      <c r="G35" s="74"/>
      <c r="H35" s="75"/>
      <c r="I35" s="76"/>
      <c r="J35" s="80"/>
      <c r="K35" s="77"/>
      <c r="L35" s="77"/>
      <c r="M35" s="78"/>
      <c r="N35" s="79"/>
      <c r="O35" s="42"/>
    </row>
    <row r="36" spans="1:15" ht="52.5" customHeight="1">
      <c r="A36" s="72"/>
      <c r="B36" s="73"/>
      <c r="C36" s="60"/>
      <c r="D36" s="74"/>
      <c r="E36" s="60"/>
      <c r="F36" s="60"/>
      <c r="G36" s="74"/>
      <c r="H36" s="75"/>
      <c r="I36" s="76"/>
      <c r="J36" s="80"/>
      <c r="K36" s="77"/>
      <c r="L36" s="77"/>
      <c r="M36" s="78"/>
      <c r="N36" s="79"/>
      <c r="O36" s="42"/>
    </row>
    <row r="37" spans="1:15" ht="52.5" customHeight="1">
      <c r="A37" s="72"/>
      <c r="B37" s="73"/>
      <c r="C37" s="60"/>
      <c r="D37" s="74"/>
      <c r="E37" s="60"/>
      <c r="F37" s="60"/>
      <c r="G37" s="74"/>
      <c r="H37" s="75"/>
      <c r="I37" s="76"/>
      <c r="J37" s="80"/>
      <c r="K37" s="77"/>
      <c r="L37" s="77"/>
      <c r="M37" s="78"/>
      <c r="N37" s="79"/>
      <c r="O37" s="42"/>
    </row>
    <row r="38" spans="1:15" ht="52.5" customHeight="1">
      <c r="A38" s="72"/>
      <c r="B38" s="73"/>
      <c r="C38" s="60"/>
      <c r="D38" s="74"/>
      <c r="E38" s="60"/>
      <c r="F38" s="60"/>
      <c r="G38" s="74"/>
      <c r="H38" s="75"/>
      <c r="I38" s="76"/>
      <c r="J38" s="80"/>
      <c r="K38" s="77"/>
      <c r="L38" s="77"/>
      <c r="M38" s="78"/>
      <c r="N38" s="79"/>
      <c r="O38" s="42"/>
    </row>
    <row r="39" spans="1:15" ht="52.5" customHeight="1">
      <c r="A39" s="72"/>
      <c r="B39" s="73"/>
      <c r="C39" s="60"/>
      <c r="D39" s="74"/>
      <c r="E39" s="60"/>
      <c r="F39" s="60"/>
      <c r="G39" s="74"/>
      <c r="H39" s="75"/>
      <c r="I39" s="76"/>
      <c r="J39" s="80"/>
      <c r="K39" s="77"/>
      <c r="L39" s="77"/>
      <c r="M39" s="78"/>
      <c r="N39" s="79"/>
      <c r="O39" s="42"/>
    </row>
    <row r="40" spans="1:15" ht="52.5" customHeight="1">
      <c r="A40" s="72"/>
      <c r="B40" s="73"/>
      <c r="C40" s="60"/>
      <c r="D40" s="74"/>
      <c r="E40" s="60"/>
      <c r="F40" s="60"/>
      <c r="G40" s="74"/>
      <c r="H40" s="75"/>
      <c r="I40" s="76"/>
      <c r="J40" s="80"/>
      <c r="K40" s="77"/>
      <c r="L40" s="77"/>
      <c r="M40" s="78"/>
      <c r="N40" s="79"/>
      <c r="O40" s="42"/>
    </row>
    <row r="41" spans="1:15" ht="52.5" customHeight="1">
      <c r="A41" s="72"/>
      <c r="B41" s="73"/>
      <c r="C41" s="60"/>
      <c r="D41" s="74"/>
      <c r="E41" s="60"/>
      <c r="F41" s="60"/>
      <c r="G41" s="74"/>
      <c r="H41" s="75"/>
      <c r="I41" s="76"/>
      <c r="J41" s="80"/>
      <c r="K41" s="77"/>
      <c r="L41" s="77"/>
      <c r="M41" s="78"/>
      <c r="N41" s="79"/>
      <c r="O41" s="42"/>
    </row>
    <row r="42" spans="1:15" ht="52.5" customHeight="1">
      <c r="A42" s="72"/>
      <c r="B42" s="73"/>
      <c r="C42" s="60"/>
      <c r="D42" s="74"/>
      <c r="E42" s="60"/>
      <c r="F42" s="60"/>
      <c r="G42" s="74"/>
      <c r="H42" s="75"/>
      <c r="I42" s="76"/>
      <c r="J42" s="80"/>
      <c r="K42" s="77"/>
      <c r="L42" s="77"/>
      <c r="M42" s="78"/>
      <c r="N42" s="79"/>
      <c r="O42" s="42"/>
    </row>
    <row r="43" spans="1:15" ht="52.5" customHeight="1">
      <c r="A43" s="72"/>
      <c r="B43" s="73"/>
      <c r="C43" s="60"/>
      <c r="D43" s="74"/>
      <c r="E43" s="60"/>
      <c r="F43" s="60"/>
      <c r="G43" s="74"/>
      <c r="H43" s="75"/>
      <c r="I43" s="76"/>
      <c r="J43" s="80"/>
      <c r="K43" s="77"/>
      <c r="L43" s="77"/>
      <c r="M43" s="78"/>
      <c r="N43" s="79"/>
      <c r="O43" s="42"/>
    </row>
    <row r="44" spans="1:15" ht="52.5" customHeight="1">
      <c r="A44" s="72"/>
      <c r="B44" s="73"/>
      <c r="C44" s="60"/>
      <c r="D44" s="74"/>
      <c r="E44" s="60"/>
      <c r="F44" s="60"/>
      <c r="G44" s="74"/>
      <c r="H44" s="75"/>
      <c r="I44" s="76"/>
      <c r="J44" s="81"/>
      <c r="K44" s="77"/>
      <c r="L44" s="77"/>
      <c r="M44" s="78"/>
      <c r="N44" s="79"/>
      <c r="O44" s="42"/>
    </row>
    <row r="45" spans="1:15" ht="52.5" customHeight="1">
      <c r="A45" s="72"/>
      <c r="B45" s="73"/>
      <c r="C45" s="60"/>
      <c r="D45" s="74"/>
      <c r="E45" s="60"/>
      <c r="F45" s="60"/>
      <c r="G45" s="74"/>
      <c r="H45" s="75"/>
      <c r="I45" s="76"/>
      <c r="J45" s="81"/>
      <c r="K45" s="77"/>
      <c r="L45" s="77"/>
      <c r="M45" s="78"/>
      <c r="N45" s="79"/>
      <c r="O45" s="42"/>
    </row>
    <row r="46" spans="1:15" ht="52.5" customHeight="1">
      <c r="A46" s="72"/>
      <c r="B46" s="73"/>
      <c r="C46" s="60"/>
      <c r="D46" s="74"/>
      <c r="E46" s="60"/>
      <c r="F46" s="60"/>
      <c r="G46" s="74"/>
      <c r="H46" s="75"/>
      <c r="I46" s="76"/>
      <c r="J46" s="43"/>
      <c r="K46" s="77"/>
      <c r="L46" s="77"/>
      <c r="M46" s="78"/>
      <c r="N46" s="79"/>
      <c r="O46" s="42"/>
    </row>
    <row r="47" spans="1:15" ht="52.5" customHeight="1">
      <c r="A47" s="72"/>
      <c r="B47" s="73"/>
      <c r="C47" s="60"/>
      <c r="D47" s="74"/>
      <c r="E47" s="60"/>
      <c r="F47" s="60"/>
      <c r="G47" s="74"/>
      <c r="H47" s="75"/>
      <c r="I47" s="76"/>
      <c r="J47" s="43"/>
      <c r="K47" s="77"/>
      <c r="L47" s="77"/>
      <c r="M47" s="78"/>
      <c r="N47" s="79"/>
      <c r="O47" s="42"/>
    </row>
    <row r="48" spans="1:15" ht="52.5" customHeight="1">
      <c r="A48" s="72"/>
      <c r="B48" s="73"/>
      <c r="C48" s="60"/>
      <c r="D48" s="74"/>
      <c r="E48" s="60"/>
      <c r="F48" s="60"/>
      <c r="G48" s="74"/>
      <c r="H48" s="75"/>
      <c r="I48" s="76"/>
      <c r="J48" s="80"/>
      <c r="K48" s="77"/>
      <c r="L48" s="77"/>
      <c r="M48" s="78"/>
      <c r="N48" s="79"/>
      <c r="O48" s="42"/>
    </row>
    <row r="49" spans="1:15" ht="52.5" customHeight="1">
      <c r="A49" s="42"/>
      <c r="B49" s="42"/>
      <c r="C49" s="42"/>
      <c r="D49" s="42"/>
      <c r="E49" s="43"/>
      <c r="F49" s="43"/>
      <c r="G49" s="43"/>
      <c r="H49" s="82"/>
      <c r="I49" s="83"/>
      <c r="J49" s="81"/>
      <c r="K49" s="43"/>
      <c r="L49" s="43"/>
      <c r="M49" s="84"/>
      <c r="N49" s="79"/>
      <c r="O49" s="42"/>
    </row>
    <row r="50" spans="1:15" ht="52.5" customHeight="1">
      <c r="A50" s="42"/>
      <c r="B50" s="42"/>
      <c r="C50" s="42"/>
      <c r="D50" s="42"/>
      <c r="E50" s="43"/>
      <c r="F50" s="43"/>
      <c r="G50" s="43"/>
      <c r="H50" s="82"/>
      <c r="I50" s="83"/>
      <c r="J50" s="81"/>
      <c r="K50" s="43"/>
      <c r="L50" s="43"/>
      <c r="M50" s="84"/>
      <c r="N50" s="79"/>
      <c r="O50" s="42"/>
    </row>
    <row r="51" spans="1:15" ht="52.5" customHeight="1">
      <c r="A51" s="42"/>
      <c r="B51" s="42"/>
      <c r="C51" s="42"/>
      <c r="D51" s="42"/>
      <c r="E51" s="43"/>
      <c r="F51" s="43"/>
      <c r="G51" s="43"/>
      <c r="H51" s="82"/>
      <c r="I51" s="83"/>
      <c r="J51" s="81"/>
      <c r="K51" s="43"/>
      <c r="L51" s="43"/>
      <c r="M51" s="84"/>
      <c r="N51" s="79"/>
      <c r="O51" s="42"/>
    </row>
    <row r="52" spans="1:15" ht="52.5" customHeight="1">
      <c r="A52" s="42"/>
      <c r="B52" s="42"/>
      <c r="C52" s="42"/>
      <c r="D52" s="42"/>
      <c r="E52" s="43"/>
      <c r="F52" s="43"/>
      <c r="G52" s="43"/>
      <c r="H52" s="82"/>
      <c r="I52" s="83"/>
      <c r="J52" s="43"/>
      <c r="K52" s="43"/>
      <c r="L52" s="43"/>
      <c r="M52" s="84"/>
      <c r="N52" s="79"/>
      <c r="O52" s="42"/>
    </row>
    <row r="53" spans="1:15" ht="52.5" customHeight="1">
      <c r="A53" s="42"/>
      <c r="B53" s="42"/>
      <c r="C53" s="42"/>
      <c r="D53" s="42"/>
      <c r="E53" s="43"/>
      <c r="F53" s="43"/>
      <c r="G53" s="43"/>
      <c r="H53" s="82"/>
      <c r="I53" s="83"/>
      <c r="J53" s="43"/>
      <c r="K53" s="43"/>
      <c r="L53" s="43"/>
      <c r="M53" s="84"/>
      <c r="N53" s="79"/>
      <c r="O53" s="42"/>
    </row>
    <row r="54" spans="1:15" ht="52.5" customHeight="1">
      <c r="A54" s="42"/>
      <c r="B54" s="42"/>
      <c r="C54" s="42"/>
      <c r="D54" s="42"/>
      <c r="E54" s="43"/>
      <c r="F54" s="43"/>
      <c r="G54" s="43"/>
      <c r="H54" s="82"/>
      <c r="I54" s="83"/>
      <c r="J54" s="43"/>
      <c r="K54" s="43"/>
      <c r="L54" s="43"/>
      <c r="M54" s="84"/>
      <c r="N54" s="79"/>
      <c r="O54" s="42"/>
    </row>
    <row r="55" spans="1:15" ht="52.5" customHeight="1">
      <c r="A55" s="42"/>
      <c r="B55" s="42"/>
      <c r="C55" s="42"/>
      <c r="D55" s="42"/>
      <c r="E55" s="43"/>
      <c r="F55" s="43"/>
      <c r="G55" s="43"/>
      <c r="H55" s="82"/>
      <c r="I55" s="83"/>
      <c r="J55" s="43"/>
      <c r="K55" s="43"/>
      <c r="L55" s="43"/>
      <c r="M55" s="84"/>
      <c r="N55" s="79"/>
      <c r="O55" s="42"/>
    </row>
    <row r="56" spans="1:15" ht="52.5" customHeight="1">
      <c r="A56" s="42"/>
      <c r="B56" s="42"/>
      <c r="C56" s="42"/>
      <c r="D56" s="42"/>
      <c r="E56" s="43"/>
      <c r="F56" s="43"/>
      <c r="G56" s="43"/>
      <c r="H56" s="82"/>
      <c r="I56" s="83"/>
      <c r="J56" s="43"/>
      <c r="K56" s="43"/>
      <c r="L56" s="43"/>
      <c r="M56" s="84"/>
      <c r="N56" s="79"/>
      <c r="O56" s="42"/>
    </row>
    <row r="57" spans="1:15" ht="52.5" customHeight="1">
      <c r="A57" s="42"/>
      <c r="B57" s="42"/>
      <c r="C57" s="42"/>
      <c r="D57" s="42"/>
      <c r="E57" s="43"/>
      <c r="F57" s="43"/>
      <c r="G57" s="43"/>
      <c r="H57" s="82"/>
      <c r="I57" s="83"/>
      <c r="J57" s="85"/>
      <c r="K57" s="43"/>
      <c r="L57" s="43"/>
      <c r="M57" s="84"/>
      <c r="N57" s="79"/>
      <c r="O57" s="42"/>
    </row>
    <row r="58" spans="1:15" ht="52.5" customHeight="1">
      <c r="A58" s="42"/>
      <c r="B58" s="42"/>
      <c r="C58" s="42"/>
      <c r="D58" s="42"/>
      <c r="E58" s="43"/>
      <c r="F58" s="43"/>
      <c r="G58" s="43"/>
      <c r="H58" s="82"/>
      <c r="I58" s="83"/>
      <c r="J58" s="43"/>
      <c r="K58" s="43"/>
      <c r="L58" s="43"/>
      <c r="M58" s="84"/>
      <c r="N58" s="79"/>
      <c r="O58" s="42"/>
    </row>
    <row r="59" spans="1:15" ht="52.5" customHeight="1">
      <c r="A59" s="42"/>
      <c r="B59" s="42"/>
      <c r="C59" s="42"/>
      <c r="D59" s="42"/>
      <c r="E59" s="43"/>
      <c r="F59" s="43"/>
      <c r="G59" s="43"/>
      <c r="H59" s="82"/>
      <c r="I59" s="83"/>
      <c r="J59" s="43"/>
      <c r="K59" s="43"/>
      <c r="L59" s="43"/>
      <c r="M59" s="84"/>
      <c r="N59" s="79"/>
      <c r="O59" s="42"/>
    </row>
    <row r="60" spans="1:15" ht="52.5" customHeight="1">
      <c r="A60" s="42"/>
      <c r="B60" s="42"/>
      <c r="C60" s="42"/>
      <c r="D60" s="42"/>
      <c r="E60" s="43"/>
      <c r="F60" s="43"/>
      <c r="G60" s="43"/>
      <c r="H60" s="82"/>
      <c r="I60" s="83"/>
      <c r="J60" s="43"/>
      <c r="K60" s="43"/>
      <c r="L60" s="43"/>
      <c r="M60" s="84"/>
      <c r="N60" s="79"/>
      <c r="O60" s="42"/>
    </row>
    <row r="61" spans="1:15" ht="52.5" customHeight="1">
      <c r="A61" s="42"/>
      <c r="B61" s="42"/>
      <c r="C61" s="42"/>
      <c r="D61" s="42"/>
      <c r="E61" s="43"/>
      <c r="F61" s="43"/>
      <c r="G61" s="43"/>
      <c r="H61" s="82"/>
      <c r="I61" s="83"/>
      <c r="J61" s="43"/>
      <c r="K61" s="43"/>
      <c r="L61" s="43"/>
      <c r="M61" s="84"/>
      <c r="N61" s="86"/>
      <c r="O61" s="42"/>
    </row>
    <row r="62" spans="1:15" ht="52.5" customHeight="1">
      <c r="A62" s="42"/>
      <c r="B62" s="42"/>
      <c r="C62" s="42"/>
      <c r="D62" s="42"/>
      <c r="E62" s="43"/>
      <c r="F62" s="43"/>
      <c r="G62" s="43"/>
      <c r="H62" s="82"/>
      <c r="I62" s="83"/>
      <c r="J62" s="80"/>
      <c r="K62" s="43"/>
      <c r="L62" s="43"/>
      <c r="M62" s="84"/>
      <c r="N62" s="86"/>
      <c r="O62" s="42"/>
    </row>
    <row r="63" spans="1:15" ht="52.5" customHeight="1">
      <c r="A63" s="42"/>
      <c r="B63" s="42"/>
      <c r="C63" s="42"/>
      <c r="D63" s="42"/>
      <c r="E63" s="43"/>
      <c r="F63" s="43"/>
      <c r="G63" s="43"/>
      <c r="H63" s="82"/>
      <c r="I63" s="83"/>
      <c r="J63" s="80"/>
      <c r="K63" s="43"/>
      <c r="L63" s="43"/>
      <c r="M63" s="84"/>
      <c r="N63" s="79"/>
      <c r="O63" s="42"/>
    </row>
    <row r="64" spans="1:15" ht="52.5" customHeight="1">
      <c r="A64" s="42"/>
      <c r="B64" s="42"/>
      <c r="C64" s="42"/>
      <c r="D64" s="42"/>
      <c r="E64" s="43"/>
      <c r="F64" s="43"/>
      <c r="G64" s="43"/>
      <c r="H64" s="82"/>
      <c r="I64" s="83"/>
      <c r="J64" s="80"/>
      <c r="K64" s="43"/>
      <c r="L64" s="43"/>
      <c r="M64" s="84"/>
      <c r="N64" s="79"/>
      <c r="O64" s="42"/>
    </row>
    <row r="65" spans="1:15" ht="52.5" customHeight="1">
      <c r="A65" s="42"/>
      <c r="B65" s="42"/>
      <c r="C65" s="42"/>
      <c r="D65" s="42"/>
      <c r="E65" s="43"/>
      <c r="F65" s="43"/>
      <c r="G65" s="43"/>
      <c r="H65" s="82"/>
      <c r="I65" s="83"/>
      <c r="J65" s="80"/>
      <c r="K65" s="43"/>
      <c r="L65" s="43"/>
      <c r="M65" s="84"/>
      <c r="N65" s="79"/>
      <c r="O65" s="42"/>
    </row>
    <row r="66" spans="1:15" ht="52.5" customHeight="1">
      <c r="A66" s="42"/>
      <c r="B66" s="42"/>
      <c r="C66" s="42"/>
      <c r="D66" s="42"/>
      <c r="E66" s="43"/>
      <c r="F66" s="43"/>
      <c r="G66" s="43"/>
      <c r="H66" s="82"/>
      <c r="I66" s="83"/>
      <c r="J66" s="80"/>
      <c r="K66" s="43"/>
      <c r="L66" s="43"/>
      <c r="M66" s="84"/>
      <c r="N66" s="79"/>
      <c r="O66" s="42"/>
    </row>
    <row r="67" spans="1:15" ht="52.5" customHeight="1">
      <c r="A67" s="42"/>
      <c r="B67" s="42"/>
      <c r="C67" s="1"/>
      <c r="D67" s="42"/>
      <c r="E67" s="43"/>
      <c r="F67" s="43"/>
      <c r="G67" s="43"/>
      <c r="H67" s="82"/>
      <c r="I67" s="83"/>
      <c r="J67" s="80"/>
      <c r="K67" s="43"/>
      <c r="L67" s="43"/>
      <c r="M67" s="84"/>
      <c r="N67" s="79"/>
      <c r="O67" s="42"/>
    </row>
    <row r="68" spans="1:15" ht="52.5" customHeight="1">
      <c r="A68" s="42"/>
      <c r="B68" s="42"/>
      <c r="C68" s="1"/>
      <c r="D68" s="42"/>
      <c r="E68" s="43"/>
      <c r="F68" s="43"/>
      <c r="G68" s="43"/>
      <c r="H68" s="82"/>
      <c r="I68" s="83"/>
      <c r="J68" s="80"/>
      <c r="K68" s="43"/>
      <c r="L68" s="43"/>
      <c r="M68" s="84"/>
      <c r="N68" s="79"/>
      <c r="O68" s="42"/>
    </row>
    <row r="69" spans="1:15" ht="52.5" customHeight="1">
      <c r="A69" s="42"/>
      <c r="B69" s="42"/>
      <c r="C69" s="1"/>
      <c r="D69" s="42"/>
      <c r="E69" s="43"/>
      <c r="F69" s="43"/>
      <c r="G69" s="43"/>
      <c r="H69" s="82"/>
      <c r="I69" s="83"/>
      <c r="J69" s="43"/>
      <c r="K69" s="43"/>
      <c r="L69" s="43"/>
      <c r="M69" s="84"/>
      <c r="N69" s="79"/>
      <c r="O69" s="42"/>
    </row>
    <row r="70" spans="1:15" ht="52.5" customHeight="1">
      <c r="A70" s="42"/>
      <c r="B70" s="42"/>
      <c r="C70" s="1"/>
      <c r="D70" s="42"/>
      <c r="E70" s="43"/>
      <c r="F70" s="43"/>
      <c r="G70" s="43"/>
      <c r="H70" s="82"/>
      <c r="I70" s="83"/>
      <c r="J70" s="43"/>
      <c r="K70" s="43"/>
      <c r="L70" s="43"/>
      <c r="M70" s="84"/>
      <c r="N70" s="79"/>
      <c r="O70" s="42"/>
    </row>
    <row r="71" spans="1:15" ht="52.5" customHeight="1">
      <c r="A71" s="42"/>
      <c r="B71" s="42"/>
      <c r="C71" s="1"/>
      <c r="D71" s="42"/>
      <c r="E71" s="43"/>
      <c r="F71" s="43"/>
      <c r="G71" s="43"/>
      <c r="H71" s="82"/>
      <c r="I71" s="83"/>
      <c r="J71" s="43"/>
      <c r="K71" s="43"/>
      <c r="L71" s="43"/>
      <c r="M71" s="84"/>
      <c r="N71" s="79"/>
      <c r="O71" s="42"/>
    </row>
    <row r="72" spans="1:15" ht="52.5" customHeight="1">
      <c r="A72" s="42"/>
      <c r="B72" s="42"/>
      <c r="C72" s="1"/>
      <c r="D72" s="42"/>
      <c r="E72" s="43"/>
      <c r="F72" s="43"/>
      <c r="G72" s="43"/>
      <c r="H72" s="82"/>
      <c r="I72" s="83"/>
      <c r="J72" s="43"/>
      <c r="K72" s="43"/>
      <c r="L72" s="43"/>
      <c r="M72" s="84"/>
      <c r="N72" s="79"/>
      <c r="O72" s="42"/>
    </row>
    <row r="73" spans="1:15" ht="52.5" customHeight="1">
      <c r="A73" s="42"/>
      <c r="B73" s="42"/>
      <c r="C73" s="1"/>
      <c r="D73" s="42"/>
      <c r="E73" s="43"/>
      <c r="F73" s="43"/>
      <c r="G73" s="43"/>
      <c r="H73" s="82"/>
      <c r="I73" s="83"/>
      <c r="J73" s="43"/>
      <c r="K73" s="43"/>
      <c r="L73" s="43"/>
      <c r="M73" s="84"/>
      <c r="N73" s="79"/>
      <c r="O73" s="42"/>
    </row>
    <row r="74" spans="1:15" ht="52.5" customHeight="1">
      <c r="A74" s="42"/>
      <c r="B74" s="42"/>
      <c r="C74" s="1"/>
      <c r="D74" s="42"/>
      <c r="E74" s="43"/>
      <c r="F74" s="43"/>
      <c r="G74" s="43"/>
      <c r="H74" s="82"/>
      <c r="I74" s="83"/>
      <c r="J74" s="43"/>
      <c r="K74" s="43"/>
      <c r="L74" s="43"/>
      <c r="M74" s="84"/>
      <c r="N74" s="79"/>
      <c r="O74" s="42"/>
    </row>
    <row r="75" spans="1:15" ht="52.5" customHeight="1">
      <c r="A75" s="42"/>
      <c r="B75" s="42"/>
      <c r="C75" s="1"/>
      <c r="D75" s="42"/>
      <c r="E75" s="43"/>
      <c r="F75" s="43"/>
      <c r="G75" s="43"/>
      <c r="H75" s="82"/>
      <c r="I75" s="83"/>
      <c r="J75" s="43"/>
      <c r="K75" s="43"/>
      <c r="L75" s="43"/>
      <c r="M75" s="84"/>
      <c r="N75" s="79"/>
      <c r="O75" s="42"/>
    </row>
    <row r="76" spans="1:15" ht="52.5" customHeight="1">
      <c r="A76" s="42"/>
      <c r="B76" s="42"/>
      <c r="C76" s="1"/>
      <c r="D76" s="42"/>
      <c r="E76" s="43"/>
      <c r="F76" s="43"/>
      <c r="G76" s="43"/>
      <c r="H76" s="82"/>
      <c r="I76" s="83"/>
      <c r="J76" s="43"/>
      <c r="K76" s="43"/>
      <c r="L76" s="43"/>
      <c r="M76" s="84"/>
      <c r="N76" s="79"/>
      <c r="O76" s="42"/>
    </row>
    <row r="77" spans="1:15" ht="52.5" customHeight="1">
      <c r="A77" s="42"/>
      <c r="B77" s="42"/>
      <c r="C77" s="1"/>
      <c r="D77" s="42"/>
      <c r="E77" s="43"/>
      <c r="F77" s="43"/>
      <c r="G77" s="43"/>
      <c r="H77" s="82"/>
      <c r="I77" s="83"/>
      <c r="J77" s="43"/>
      <c r="K77" s="43"/>
      <c r="L77" s="43"/>
      <c r="M77" s="84"/>
      <c r="N77" s="79"/>
      <c r="O77" s="42"/>
    </row>
    <row r="78" spans="1:15" ht="52.5" customHeight="1">
      <c r="A78" s="42"/>
      <c r="B78" s="42"/>
      <c r="C78" s="1"/>
      <c r="D78" s="42"/>
      <c r="E78" s="43"/>
      <c r="F78" s="43"/>
      <c r="G78" s="43"/>
      <c r="H78" s="82"/>
      <c r="I78" s="83"/>
      <c r="J78" s="43"/>
      <c r="K78" s="43"/>
      <c r="L78" s="43"/>
      <c r="M78" s="84"/>
      <c r="N78" s="79"/>
      <c r="O78" s="42"/>
    </row>
    <row r="79" spans="1:15" ht="52.5" customHeight="1">
      <c r="A79" s="42"/>
      <c r="B79" s="42"/>
      <c r="C79" s="1"/>
      <c r="D79" s="42"/>
      <c r="E79" s="43"/>
      <c r="F79" s="43"/>
      <c r="G79" s="43"/>
      <c r="H79" s="82"/>
      <c r="I79" s="83"/>
      <c r="J79" s="43"/>
      <c r="K79" s="43"/>
      <c r="L79" s="43"/>
      <c r="M79" s="84"/>
      <c r="N79" s="79"/>
      <c r="O79" s="42"/>
    </row>
    <row r="80" spans="1:15" ht="52.5" customHeight="1">
      <c r="A80" s="42"/>
      <c r="B80" s="42"/>
      <c r="C80" s="1"/>
      <c r="D80" s="42"/>
      <c r="E80" s="43"/>
      <c r="F80" s="43"/>
      <c r="G80" s="43"/>
      <c r="H80" s="82"/>
      <c r="I80" s="83"/>
      <c r="J80" s="43"/>
      <c r="K80" s="43"/>
      <c r="L80" s="43"/>
      <c r="M80" s="84"/>
      <c r="N80" s="79"/>
      <c r="O80" s="42"/>
    </row>
    <row r="81" spans="1:15" ht="52.5" customHeight="1">
      <c r="A81" s="42"/>
      <c r="B81" s="42"/>
      <c r="C81" s="1"/>
      <c r="D81" s="42"/>
      <c r="E81" s="43"/>
      <c r="F81" s="43"/>
      <c r="G81" s="43"/>
      <c r="H81" s="82"/>
      <c r="I81" s="83"/>
      <c r="J81" s="43"/>
      <c r="K81" s="43"/>
      <c r="L81" s="43"/>
      <c r="M81" s="84"/>
      <c r="N81" s="79"/>
      <c r="O81" s="42"/>
    </row>
    <row r="82" spans="1:15" ht="52.5" customHeight="1">
      <c r="A82" s="42"/>
      <c r="B82" s="42"/>
      <c r="C82" s="1"/>
      <c r="D82" s="42"/>
      <c r="E82" s="43"/>
      <c r="F82" s="43"/>
      <c r="G82" s="43"/>
      <c r="H82" s="82"/>
      <c r="I82" s="83"/>
      <c r="J82" s="43"/>
      <c r="K82" s="43"/>
      <c r="L82" s="43"/>
      <c r="M82" s="84"/>
      <c r="N82" s="79"/>
      <c r="O82" s="42"/>
    </row>
    <row r="83" spans="1:15" ht="52.5" customHeight="1">
      <c r="A83" s="42"/>
      <c r="B83" s="42"/>
      <c r="C83" s="1"/>
      <c r="D83" s="42"/>
      <c r="E83" s="43"/>
      <c r="F83" s="43"/>
      <c r="G83" s="43"/>
      <c r="H83" s="82"/>
      <c r="I83" s="83"/>
      <c r="J83" s="43"/>
      <c r="K83" s="43"/>
      <c r="L83" s="43"/>
      <c r="M83" s="84"/>
      <c r="N83" s="79"/>
      <c r="O83" s="42"/>
    </row>
    <row r="84" spans="1:15" ht="52.5" customHeight="1">
      <c r="A84" s="42"/>
      <c r="B84" s="42"/>
      <c r="C84" s="1"/>
      <c r="D84" s="42"/>
      <c r="E84" s="43"/>
      <c r="F84" s="43"/>
      <c r="G84" s="43"/>
      <c r="H84" s="82"/>
      <c r="I84" s="83"/>
      <c r="J84" s="43"/>
      <c r="K84" s="43"/>
      <c r="L84" s="43"/>
      <c r="M84" s="84"/>
      <c r="N84" s="79"/>
      <c r="O84" s="42"/>
    </row>
    <row r="85" spans="1:15" ht="52.5" customHeight="1">
      <c r="A85" s="42"/>
      <c r="B85" s="42"/>
      <c r="C85" s="1"/>
      <c r="D85" s="42"/>
      <c r="E85" s="43"/>
      <c r="F85" s="43"/>
      <c r="G85" s="43"/>
      <c r="H85" s="82"/>
      <c r="I85" s="83"/>
      <c r="J85" s="43"/>
      <c r="K85" s="43"/>
      <c r="L85" s="43"/>
      <c r="M85" s="84"/>
      <c r="N85" s="79"/>
      <c r="O85" s="42"/>
    </row>
    <row r="86" spans="1:15" ht="52.5" customHeight="1">
      <c r="A86" s="42"/>
      <c r="B86" s="42"/>
      <c r="C86" s="1"/>
      <c r="D86" s="42"/>
      <c r="E86" s="43"/>
      <c r="F86" s="43"/>
      <c r="G86" s="43"/>
      <c r="H86" s="82"/>
      <c r="I86" s="83"/>
      <c r="J86" s="43"/>
      <c r="K86" s="43"/>
      <c r="L86" s="43"/>
      <c r="M86" s="84"/>
      <c r="N86" s="79"/>
      <c r="O86" s="42"/>
    </row>
    <row r="87" spans="1:15" ht="52.5" customHeight="1">
      <c r="A87" s="42"/>
      <c r="B87" s="42"/>
      <c r="C87" s="1"/>
      <c r="D87" s="42"/>
      <c r="E87" s="43"/>
      <c r="F87" s="43"/>
      <c r="G87" s="43"/>
      <c r="H87" s="82"/>
      <c r="I87" s="83"/>
      <c r="J87" s="43"/>
      <c r="K87" s="43"/>
      <c r="L87" s="43"/>
      <c r="M87" s="84"/>
      <c r="N87" s="79"/>
      <c r="O87" s="42"/>
    </row>
    <row r="88" spans="1:15" ht="52.5" customHeight="1">
      <c r="A88" s="42"/>
      <c r="B88" s="42"/>
      <c r="C88" s="1"/>
      <c r="D88" s="42"/>
      <c r="E88" s="43"/>
      <c r="F88" s="43"/>
      <c r="G88" s="43"/>
      <c r="H88" s="82"/>
      <c r="I88" s="83"/>
      <c r="J88" s="43"/>
      <c r="K88" s="43"/>
      <c r="L88" s="43"/>
      <c r="M88" s="84"/>
      <c r="N88" s="79"/>
      <c r="O88" s="42"/>
    </row>
    <row r="89" spans="1:15" ht="52.5" customHeight="1">
      <c r="A89" s="42"/>
      <c r="B89" s="42"/>
      <c r="C89" s="1"/>
      <c r="D89" s="42"/>
      <c r="E89" s="43"/>
      <c r="F89" s="43"/>
      <c r="G89" s="43"/>
      <c r="H89" s="82"/>
      <c r="I89" s="83"/>
      <c r="J89" s="43"/>
      <c r="K89" s="43"/>
      <c r="L89" s="43"/>
      <c r="M89" s="84"/>
      <c r="N89" s="79"/>
      <c r="O89" s="42"/>
    </row>
    <row r="90" spans="1:15" ht="52.5" customHeight="1">
      <c r="A90" s="42"/>
      <c r="B90" s="42"/>
      <c r="C90" s="1"/>
      <c r="D90" s="42"/>
      <c r="E90" s="43"/>
      <c r="F90" s="43"/>
      <c r="G90" s="43"/>
      <c r="H90" s="82"/>
      <c r="I90" s="83"/>
      <c r="J90" s="43"/>
      <c r="K90" s="43"/>
      <c r="L90" s="43"/>
      <c r="M90" s="84"/>
      <c r="N90" s="79"/>
      <c r="O90" s="42"/>
    </row>
    <row r="91" spans="1:15" ht="52.5" customHeight="1">
      <c r="A91" s="42"/>
      <c r="B91" s="42"/>
      <c r="C91" s="1"/>
      <c r="D91" s="42"/>
      <c r="E91" s="43"/>
      <c r="F91" s="43"/>
      <c r="G91" s="43"/>
      <c r="H91" s="82"/>
      <c r="I91" s="83"/>
      <c r="J91" s="43"/>
      <c r="K91" s="43"/>
      <c r="L91" s="43"/>
      <c r="M91" s="84"/>
      <c r="N91" s="79"/>
      <c r="O91" s="42"/>
    </row>
    <row r="92" spans="1:15" ht="52.5" customHeight="1">
      <c r="A92" s="42"/>
      <c r="B92" s="42"/>
      <c r="C92" s="1"/>
      <c r="D92" s="42"/>
      <c r="E92" s="43"/>
      <c r="F92" s="43"/>
      <c r="G92" s="43"/>
      <c r="H92" s="82"/>
      <c r="I92" s="83"/>
      <c r="J92" s="43"/>
      <c r="K92" s="43"/>
      <c r="L92" s="43"/>
      <c r="M92" s="84"/>
      <c r="N92" s="79"/>
      <c r="O92" s="42"/>
    </row>
    <row r="93" spans="1:15" ht="52.5" customHeight="1">
      <c r="A93" s="42"/>
      <c r="B93" s="42"/>
      <c r="C93" s="1"/>
      <c r="D93" s="42"/>
      <c r="E93" s="43"/>
      <c r="F93" s="43"/>
      <c r="G93" s="43"/>
      <c r="H93" s="82"/>
      <c r="I93" s="83"/>
      <c r="J93" s="43"/>
      <c r="K93" s="43"/>
      <c r="L93" s="43"/>
      <c r="M93" s="84"/>
      <c r="N93" s="79"/>
      <c r="O93" s="42"/>
    </row>
    <row r="94" spans="1:15" ht="52.5" customHeight="1">
      <c r="A94" s="42"/>
      <c r="B94" s="42"/>
      <c r="C94" s="1"/>
      <c r="D94" s="42"/>
      <c r="E94" s="43"/>
      <c r="F94" s="43"/>
      <c r="G94" s="43"/>
      <c r="H94" s="82"/>
      <c r="I94" s="83"/>
      <c r="J94" s="43"/>
      <c r="K94" s="43"/>
      <c r="L94" s="43"/>
      <c r="M94" s="84"/>
      <c r="N94" s="79"/>
      <c r="O94" s="42"/>
    </row>
    <row r="95" spans="1:15" ht="52.5" customHeight="1">
      <c r="A95" s="42"/>
      <c r="B95" s="42"/>
      <c r="C95" s="1"/>
      <c r="D95" s="42"/>
      <c r="E95" s="43"/>
      <c r="F95" s="43"/>
      <c r="G95" s="43"/>
      <c r="H95" s="82"/>
      <c r="I95" s="83"/>
      <c r="J95" s="43"/>
      <c r="K95" s="43"/>
      <c r="L95" s="43"/>
      <c r="M95" s="84"/>
      <c r="N95" s="79"/>
      <c r="O95" s="42"/>
    </row>
    <row r="96" spans="1:15" ht="52.5" customHeight="1">
      <c r="A96" s="42"/>
      <c r="B96" s="42"/>
      <c r="C96" s="1"/>
      <c r="D96" s="42"/>
      <c r="E96" s="43"/>
      <c r="F96" s="43"/>
      <c r="G96" s="43"/>
      <c r="H96" s="82"/>
      <c r="I96" s="83"/>
      <c r="J96" s="43"/>
      <c r="K96" s="43"/>
      <c r="L96" s="43"/>
      <c r="M96" s="84"/>
      <c r="N96" s="79"/>
      <c r="O96" s="42"/>
    </row>
    <row r="97" spans="1:15" ht="52.5" customHeight="1">
      <c r="A97" s="42"/>
      <c r="B97" s="42"/>
      <c r="C97" s="1"/>
      <c r="D97" s="42"/>
      <c r="E97" s="43"/>
      <c r="F97" s="43"/>
      <c r="G97" s="43"/>
      <c r="H97" s="82"/>
      <c r="I97" s="83"/>
      <c r="J97" s="43"/>
      <c r="K97" s="43"/>
      <c r="L97" s="43"/>
      <c r="M97" s="84"/>
      <c r="N97" s="79"/>
      <c r="O97" s="42"/>
    </row>
    <row r="98" spans="1:15" ht="52.5" customHeight="1">
      <c r="A98" s="42"/>
      <c r="B98" s="42"/>
      <c r="C98" s="1"/>
      <c r="D98" s="42"/>
      <c r="E98" s="43"/>
      <c r="F98" s="43"/>
      <c r="G98" s="43"/>
      <c r="H98" s="82"/>
      <c r="I98" s="83"/>
      <c r="J98" s="43"/>
      <c r="K98" s="43"/>
      <c r="L98" s="43"/>
      <c r="M98" s="84"/>
      <c r="N98" s="79"/>
      <c r="O98" s="42"/>
    </row>
    <row r="99" spans="1:15" ht="52.5" customHeight="1">
      <c r="A99" s="42"/>
      <c r="B99" s="42"/>
      <c r="C99" s="1"/>
      <c r="D99" s="42"/>
      <c r="E99" s="43"/>
      <c r="F99" s="43"/>
      <c r="G99" s="43"/>
      <c r="H99" s="82"/>
      <c r="I99" s="83"/>
      <c r="J99" s="43"/>
      <c r="K99" s="43"/>
      <c r="L99" s="43"/>
      <c r="M99" s="84"/>
      <c r="N99" s="79"/>
      <c r="O99" s="42"/>
    </row>
    <row r="100" spans="1:15" ht="52.5" customHeight="1">
      <c r="A100" s="42"/>
      <c r="B100" s="42"/>
      <c r="C100" s="1"/>
      <c r="D100" s="42"/>
      <c r="E100" s="43"/>
      <c r="F100" s="43"/>
      <c r="G100" s="43"/>
      <c r="H100" s="82"/>
      <c r="I100" s="83"/>
      <c r="J100" s="43"/>
      <c r="K100" s="43"/>
      <c r="L100" s="43"/>
      <c r="M100" s="84"/>
      <c r="N100" s="79"/>
      <c r="O100" s="42"/>
    </row>
    <row r="101" spans="1:15" ht="52.5" customHeight="1">
      <c r="A101" s="42"/>
      <c r="B101" s="42"/>
      <c r="C101" s="1"/>
      <c r="D101" s="42"/>
      <c r="E101" s="43"/>
      <c r="F101" s="43"/>
      <c r="G101" s="43"/>
      <c r="H101" s="82"/>
      <c r="I101" s="83"/>
      <c r="J101" s="43"/>
      <c r="K101" s="43"/>
      <c r="L101" s="43"/>
      <c r="M101" s="84"/>
      <c r="N101" s="79"/>
      <c r="O101" s="42"/>
    </row>
    <row r="102" spans="1:15" ht="52.5" customHeight="1">
      <c r="A102" s="42"/>
      <c r="B102" s="42"/>
      <c r="C102" s="1"/>
      <c r="D102" s="42"/>
      <c r="E102" s="43"/>
      <c r="F102" s="43"/>
      <c r="G102" s="43"/>
      <c r="H102" s="82"/>
      <c r="I102" s="83"/>
      <c r="J102" s="43"/>
      <c r="K102" s="43"/>
      <c r="L102" s="43"/>
      <c r="M102" s="84"/>
      <c r="N102" s="79"/>
      <c r="O102" s="42"/>
    </row>
    <row r="103" spans="1:15" ht="52.5" customHeight="1">
      <c r="A103" s="42"/>
      <c r="B103" s="42"/>
      <c r="C103" s="1"/>
      <c r="D103" s="42"/>
      <c r="E103" s="43"/>
      <c r="F103" s="43"/>
      <c r="G103" s="43"/>
      <c r="H103" s="82"/>
      <c r="I103" s="83"/>
      <c r="J103" s="43"/>
      <c r="K103" s="43"/>
      <c r="L103" s="43"/>
      <c r="M103" s="84"/>
      <c r="N103" s="79"/>
      <c r="O103" s="42"/>
    </row>
    <row r="104" spans="1:15" ht="52.5" customHeight="1">
      <c r="A104" s="42"/>
      <c r="B104" s="42"/>
      <c r="C104" s="1"/>
      <c r="D104" s="42"/>
      <c r="E104" s="43"/>
      <c r="F104" s="43"/>
      <c r="G104" s="43"/>
      <c r="H104" s="82"/>
      <c r="I104" s="83"/>
      <c r="J104" s="43"/>
      <c r="K104" s="43"/>
      <c r="L104" s="43"/>
      <c r="M104" s="84"/>
      <c r="N104" s="79"/>
      <c r="O104" s="42"/>
    </row>
    <row r="105" spans="1:15" ht="52.5" customHeight="1">
      <c r="A105" s="42"/>
      <c r="B105" s="42"/>
      <c r="C105" s="1"/>
      <c r="D105" s="42"/>
      <c r="E105" s="43"/>
      <c r="F105" s="43"/>
      <c r="G105" s="43"/>
      <c r="H105" s="82"/>
      <c r="I105" s="83"/>
      <c r="J105" s="43"/>
      <c r="K105" s="43"/>
      <c r="L105" s="43"/>
      <c r="M105" s="84"/>
      <c r="N105" s="79"/>
      <c r="O105" s="42"/>
    </row>
    <row r="106" spans="1:15" ht="52.5" customHeight="1">
      <c r="A106" s="42"/>
      <c r="B106" s="42"/>
      <c r="C106" s="1"/>
      <c r="D106" s="42"/>
      <c r="E106" s="43"/>
      <c r="F106" s="43"/>
      <c r="G106" s="43"/>
      <c r="H106" s="82"/>
      <c r="I106" s="83"/>
      <c r="J106" s="43"/>
      <c r="K106" s="43"/>
      <c r="L106" s="43"/>
      <c r="M106" s="84"/>
      <c r="N106" s="79"/>
      <c r="O106" s="42"/>
    </row>
    <row r="107" spans="1:15" ht="52.5" customHeight="1">
      <c r="A107" s="42"/>
      <c r="B107" s="42"/>
      <c r="C107" s="1"/>
      <c r="D107" s="42"/>
      <c r="E107" s="43"/>
      <c r="F107" s="43"/>
      <c r="G107" s="43"/>
      <c r="H107" s="82"/>
      <c r="I107" s="83"/>
      <c r="J107" s="43"/>
      <c r="K107" s="43"/>
      <c r="L107" s="43"/>
      <c r="M107" s="84"/>
      <c r="N107" s="79"/>
      <c r="O107" s="42"/>
    </row>
    <row r="108" spans="1:15" ht="52.5" customHeight="1">
      <c r="A108" s="42"/>
      <c r="B108" s="42"/>
      <c r="C108" s="1"/>
      <c r="D108" s="42"/>
      <c r="E108" s="43"/>
      <c r="F108" s="43"/>
      <c r="G108" s="43"/>
      <c r="H108" s="82"/>
      <c r="I108" s="83"/>
      <c r="J108" s="43"/>
      <c r="K108" s="43"/>
      <c r="L108" s="43"/>
      <c r="M108" s="84"/>
      <c r="N108" s="79"/>
      <c r="O108" s="42"/>
    </row>
    <row r="109" spans="1:15" ht="52.5" customHeight="1">
      <c r="A109" s="42"/>
      <c r="B109" s="42"/>
      <c r="C109" s="1"/>
      <c r="D109" s="42"/>
      <c r="E109" s="43"/>
      <c r="F109" s="43"/>
      <c r="G109" s="43"/>
      <c r="H109" s="82"/>
      <c r="I109" s="83"/>
      <c r="J109" s="43"/>
      <c r="K109" s="43"/>
      <c r="L109" s="43"/>
      <c r="M109" s="84"/>
      <c r="N109" s="79"/>
      <c r="O109" s="42"/>
    </row>
    <row r="110" spans="1:15" ht="52.5" customHeight="1">
      <c r="A110" s="42"/>
      <c r="B110" s="42"/>
      <c r="C110" s="1"/>
      <c r="D110" s="42"/>
      <c r="E110" s="43"/>
      <c r="F110" s="43"/>
      <c r="G110" s="43"/>
      <c r="H110" s="82"/>
      <c r="I110" s="83"/>
      <c r="J110" s="43"/>
      <c r="K110" s="43"/>
      <c r="L110" s="43"/>
      <c r="M110" s="84"/>
      <c r="N110" s="79"/>
      <c r="O110" s="42"/>
    </row>
    <row r="111" spans="1:15" ht="52.5" customHeight="1">
      <c r="A111" s="42"/>
      <c r="B111" s="42"/>
      <c r="C111" s="1"/>
      <c r="D111" s="42"/>
      <c r="E111" s="43"/>
      <c r="F111" s="43"/>
      <c r="G111" s="43"/>
      <c r="H111" s="82"/>
      <c r="I111" s="83"/>
      <c r="J111" s="43"/>
      <c r="K111" s="43"/>
      <c r="L111" s="43"/>
      <c r="M111" s="84"/>
      <c r="N111" s="79"/>
      <c r="O111" s="42"/>
    </row>
    <row r="112" spans="1:15" ht="52.5" customHeight="1">
      <c r="A112" s="42"/>
      <c r="B112" s="42"/>
      <c r="C112" s="1"/>
      <c r="D112" s="42"/>
      <c r="E112" s="43"/>
      <c r="F112" s="43"/>
      <c r="G112" s="43"/>
      <c r="H112" s="82"/>
      <c r="I112" s="83"/>
      <c r="J112" s="43"/>
      <c r="K112" s="43"/>
      <c r="L112" s="43"/>
      <c r="M112" s="84"/>
      <c r="N112" s="79"/>
      <c r="O112" s="42"/>
    </row>
    <row r="113" spans="1:15" ht="52.5" customHeight="1">
      <c r="A113" s="42"/>
      <c r="B113" s="42"/>
      <c r="C113" s="1"/>
      <c r="D113" s="42"/>
      <c r="E113" s="43"/>
      <c r="F113" s="43"/>
      <c r="G113" s="43"/>
      <c r="H113" s="82"/>
      <c r="I113" s="83"/>
      <c r="J113" s="43"/>
      <c r="K113" s="43"/>
      <c r="L113" s="43"/>
      <c r="M113" s="84"/>
      <c r="N113" s="79"/>
      <c r="O113" s="42"/>
    </row>
    <row r="114" spans="1:15" ht="52.5" customHeight="1">
      <c r="A114" s="42"/>
      <c r="B114" s="42"/>
      <c r="C114" s="1"/>
      <c r="D114" s="42"/>
      <c r="E114" s="43"/>
      <c r="F114" s="43"/>
      <c r="G114" s="43"/>
      <c r="H114" s="82"/>
      <c r="I114" s="83"/>
      <c r="J114" s="43"/>
      <c r="K114" s="43"/>
      <c r="L114" s="43"/>
      <c r="M114" s="84"/>
      <c r="N114" s="79"/>
      <c r="O114" s="42"/>
    </row>
    <row r="115" spans="1:15" ht="52.5" customHeight="1">
      <c r="A115" s="42"/>
      <c r="B115" s="42"/>
      <c r="C115" s="1"/>
      <c r="D115" s="42"/>
      <c r="E115" s="43"/>
      <c r="F115" s="43"/>
      <c r="G115" s="43"/>
      <c r="H115" s="82"/>
      <c r="I115" s="83"/>
      <c r="J115" s="43"/>
      <c r="K115" s="43"/>
      <c r="L115" s="43"/>
      <c r="M115" s="84"/>
      <c r="N115" s="79"/>
      <c r="O115" s="42"/>
    </row>
    <row r="116" spans="1:15" ht="52.5" customHeight="1">
      <c r="A116" s="42"/>
      <c r="B116" s="42"/>
      <c r="C116" s="1"/>
      <c r="D116" s="42"/>
      <c r="E116" s="43"/>
      <c r="F116" s="43"/>
      <c r="G116" s="43"/>
      <c r="H116" s="82"/>
      <c r="I116" s="83"/>
      <c r="J116" s="43"/>
      <c r="K116" s="43"/>
      <c r="L116" s="43"/>
      <c r="M116" s="84"/>
      <c r="N116" s="79"/>
      <c r="O116" s="42"/>
    </row>
    <row r="117" spans="1:15" ht="52.5" customHeight="1">
      <c r="A117" s="42"/>
      <c r="B117" s="42"/>
      <c r="C117" s="1"/>
      <c r="D117" s="42"/>
      <c r="E117" s="43"/>
      <c r="F117" s="43"/>
      <c r="G117" s="43"/>
      <c r="H117" s="82"/>
      <c r="I117" s="83"/>
      <c r="J117" s="43"/>
      <c r="K117" s="43"/>
      <c r="L117" s="43"/>
      <c r="M117" s="84"/>
      <c r="N117" s="79"/>
      <c r="O117" s="42"/>
    </row>
    <row r="118" spans="1:15" ht="52.5" customHeight="1">
      <c r="A118" s="42"/>
      <c r="B118" s="42"/>
      <c r="C118" s="1"/>
      <c r="D118" s="42"/>
      <c r="E118" s="43"/>
      <c r="F118" s="43"/>
      <c r="G118" s="43"/>
      <c r="H118" s="82"/>
      <c r="I118" s="83"/>
      <c r="J118" s="43"/>
      <c r="K118" s="43"/>
      <c r="L118" s="43"/>
      <c r="M118" s="84"/>
      <c r="N118" s="79"/>
      <c r="O118" s="42"/>
    </row>
    <row r="119" spans="1:15" ht="52.5" customHeight="1">
      <c r="A119" s="42"/>
      <c r="B119" s="42"/>
      <c r="C119" s="1"/>
      <c r="D119" s="42"/>
      <c r="E119" s="43"/>
      <c r="F119" s="43"/>
      <c r="G119" s="43"/>
      <c r="H119" s="82"/>
      <c r="I119" s="83"/>
      <c r="J119" s="43"/>
      <c r="K119" s="43"/>
      <c r="L119" s="43"/>
      <c r="M119" s="84"/>
      <c r="N119" s="79"/>
      <c r="O119" s="42"/>
    </row>
    <row r="120" spans="1:15" ht="52.5" customHeight="1">
      <c r="A120" s="42"/>
      <c r="B120" s="42"/>
      <c r="C120" s="1"/>
      <c r="D120" s="42"/>
      <c r="E120" s="43"/>
      <c r="F120" s="43"/>
      <c r="G120" s="43"/>
      <c r="H120" s="82"/>
      <c r="I120" s="83"/>
      <c r="J120" s="43"/>
      <c r="K120" s="43"/>
      <c r="L120" s="43"/>
      <c r="M120" s="84"/>
      <c r="N120" s="79"/>
      <c r="O120" s="42"/>
    </row>
    <row r="121" spans="1:15" ht="52.5" customHeight="1">
      <c r="A121" s="42"/>
      <c r="B121" s="42"/>
      <c r="C121" s="1"/>
      <c r="D121" s="42"/>
      <c r="E121" s="43"/>
      <c r="F121" s="43"/>
      <c r="G121" s="43"/>
      <c r="H121" s="82"/>
      <c r="I121" s="83"/>
      <c r="J121" s="43"/>
      <c r="K121" s="43"/>
      <c r="L121" s="43"/>
      <c r="M121" s="84"/>
      <c r="N121" s="79"/>
      <c r="O121" s="42"/>
    </row>
    <row r="122" spans="1:15" ht="52.5" customHeight="1">
      <c r="A122" s="42"/>
      <c r="B122" s="42"/>
      <c r="C122" s="1"/>
      <c r="D122" s="42"/>
      <c r="E122" s="43"/>
      <c r="F122" s="43"/>
      <c r="G122" s="43"/>
      <c r="H122" s="82"/>
      <c r="I122" s="83"/>
      <c r="J122" s="43"/>
      <c r="K122" s="43"/>
      <c r="L122" s="43"/>
      <c r="M122" s="84"/>
      <c r="N122" s="79"/>
      <c r="O122" s="42"/>
    </row>
    <row r="123" spans="1:15" ht="52.5" customHeight="1">
      <c r="A123" s="42"/>
      <c r="B123" s="42"/>
      <c r="C123" s="1"/>
      <c r="D123" s="42"/>
      <c r="E123" s="43"/>
      <c r="F123" s="43"/>
      <c r="G123" s="43"/>
      <c r="H123" s="82"/>
      <c r="I123" s="83"/>
      <c r="J123" s="43"/>
      <c r="K123" s="43"/>
      <c r="L123" s="43"/>
      <c r="M123" s="84"/>
      <c r="N123" s="79"/>
      <c r="O123" s="42"/>
    </row>
    <row r="124" spans="1:15" ht="52.5" customHeight="1">
      <c r="A124" s="42"/>
      <c r="B124" s="42"/>
      <c r="C124" s="1"/>
      <c r="D124" s="42"/>
      <c r="E124" s="43"/>
      <c r="F124" s="43"/>
      <c r="G124" s="43"/>
      <c r="H124" s="82"/>
      <c r="I124" s="83"/>
      <c r="J124" s="43"/>
      <c r="K124" s="43"/>
      <c r="L124" s="43"/>
      <c r="M124" s="84"/>
      <c r="N124" s="79"/>
      <c r="O124" s="42"/>
    </row>
    <row r="125" spans="1:15" ht="52.5" customHeight="1">
      <c r="A125" s="42"/>
      <c r="B125" s="42"/>
      <c r="C125" s="1"/>
      <c r="D125" s="42"/>
      <c r="E125" s="43"/>
      <c r="F125" s="43"/>
      <c r="G125" s="43"/>
      <c r="H125" s="82"/>
      <c r="I125" s="83"/>
      <c r="J125" s="43"/>
      <c r="K125" s="43"/>
      <c r="L125" s="43"/>
      <c r="M125" s="84"/>
      <c r="N125" s="79"/>
      <c r="O125" s="42"/>
    </row>
    <row r="126" spans="1:15" ht="52.5" customHeight="1">
      <c r="A126" s="42"/>
      <c r="B126" s="42"/>
      <c r="C126" s="1"/>
      <c r="D126" s="42"/>
      <c r="E126" s="43"/>
      <c r="F126" s="43"/>
      <c r="G126" s="43"/>
      <c r="H126" s="82"/>
      <c r="I126" s="83"/>
      <c r="J126" s="43"/>
      <c r="K126" s="43"/>
      <c r="L126" s="43"/>
      <c r="M126" s="84"/>
      <c r="N126" s="79"/>
      <c r="O126" s="42"/>
    </row>
    <row r="127" spans="1:15" ht="52.5" customHeight="1">
      <c r="A127" s="42"/>
      <c r="B127" s="42"/>
      <c r="C127" s="1"/>
      <c r="D127" s="42"/>
      <c r="E127" s="43"/>
      <c r="F127" s="43"/>
      <c r="G127" s="43"/>
      <c r="H127" s="82"/>
      <c r="I127" s="83"/>
      <c r="J127" s="43"/>
      <c r="K127" s="43"/>
      <c r="L127" s="43"/>
      <c r="M127" s="84"/>
      <c r="N127" s="79"/>
      <c r="O127" s="42"/>
    </row>
    <row r="128" spans="1:15" ht="52.5" customHeight="1">
      <c r="A128" s="42"/>
      <c r="B128" s="42"/>
      <c r="C128" s="1"/>
      <c r="D128" s="42"/>
      <c r="E128" s="43"/>
      <c r="F128" s="43"/>
      <c r="G128" s="43"/>
      <c r="H128" s="82"/>
      <c r="I128" s="83"/>
      <c r="J128" s="43"/>
      <c r="K128" s="43"/>
      <c r="L128" s="43"/>
      <c r="M128" s="84"/>
      <c r="N128" s="79"/>
      <c r="O128" s="42"/>
    </row>
    <row r="129" spans="1:15" ht="52.5" customHeight="1">
      <c r="A129" s="42"/>
      <c r="B129" s="42"/>
      <c r="C129" s="1"/>
      <c r="D129" s="42"/>
      <c r="E129" s="43"/>
      <c r="F129" s="43"/>
      <c r="G129" s="43"/>
      <c r="H129" s="82"/>
      <c r="I129" s="83"/>
      <c r="J129" s="43"/>
      <c r="K129" s="43"/>
      <c r="L129" s="43"/>
      <c r="M129" s="84"/>
      <c r="N129" s="79"/>
      <c r="O129" s="42"/>
    </row>
    <row r="130" spans="1:15" ht="52.5" customHeight="1">
      <c r="A130" s="42"/>
      <c r="B130" s="42"/>
      <c r="C130" s="1"/>
      <c r="D130" s="42"/>
      <c r="E130" s="43"/>
      <c r="F130" s="43"/>
      <c r="G130" s="43"/>
      <c r="H130" s="82"/>
      <c r="I130" s="83"/>
      <c r="J130" s="43"/>
      <c r="K130" s="43"/>
      <c r="L130" s="43"/>
      <c r="M130" s="84"/>
      <c r="N130" s="79"/>
      <c r="O130" s="42"/>
    </row>
    <row r="131" spans="1:15" ht="52.5" customHeight="1">
      <c r="A131" s="42"/>
      <c r="B131" s="42"/>
      <c r="C131" s="1"/>
      <c r="D131" s="42"/>
      <c r="E131" s="43"/>
      <c r="F131" s="43"/>
      <c r="G131" s="43"/>
      <c r="H131" s="82"/>
      <c r="I131" s="83"/>
      <c r="J131" s="43"/>
      <c r="K131" s="43"/>
      <c r="L131" s="43"/>
      <c r="M131" s="84"/>
      <c r="N131" s="79"/>
      <c r="O131" s="42"/>
    </row>
    <row r="132" spans="1:15" ht="52.5" customHeight="1">
      <c r="A132" s="42"/>
      <c r="B132" s="42"/>
      <c r="C132" s="1"/>
      <c r="D132" s="42"/>
      <c r="E132" s="43"/>
      <c r="F132" s="43"/>
      <c r="G132" s="43"/>
      <c r="H132" s="82"/>
      <c r="I132" s="83"/>
      <c r="J132" s="43"/>
      <c r="K132" s="43"/>
      <c r="L132" s="43"/>
      <c r="M132" s="84"/>
      <c r="N132" s="79"/>
      <c r="O132" s="42"/>
    </row>
    <row r="133" spans="1:15" ht="52.5" customHeight="1">
      <c r="A133" s="42"/>
      <c r="B133" s="42"/>
      <c r="C133" s="1"/>
      <c r="D133" s="42"/>
      <c r="E133" s="43"/>
      <c r="F133" s="43"/>
      <c r="G133" s="43"/>
      <c r="H133" s="82"/>
      <c r="I133" s="83"/>
      <c r="J133" s="43"/>
      <c r="K133" s="43"/>
      <c r="L133" s="43"/>
      <c r="M133" s="84"/>
      <c r="N133" s="79"/>
      <c r="O133" s="42"/>
    </row>
    <row r="134" spans="1:15" ht="52.5" customHeight="1">
      <c r="A134" s="42"/>
      <c r="B134" s="42"/>
      <c r="C134" s="1"/>
      <c r="D134" s="42"/>
      <c r="E134" s="43"/>
      <c r="F134" s="43"/>
      <c r="G134" s="43"/>
      <c r="H134" s="82"/>
      <c r="I134" s="83"/>
      <c r="J134" s="43"/>
      <c r="K134" s="43"/>
      <c r="L134" s="43"/>
      <c r="M134" s="84"/>
      <c r="N134" s="79"/>
      <c r="O134" s="42"/>
    </row>
    <row r="135" spans="1:15" ht="52.5" customHeight="1">
      <c r="A135" s="42"/>
      <c r="B135" s="42"/>
      <c r="C135" s="1"/>
      <c r="D135" s="42"/>
      <c r="E135" s="43"/>
      <c r="F135" s="43"/>
      <c r="G135" s="43"/>
      <c r="H135" s="82"/>
      <c r="I135" s="83"/>
      <c r="J135" s="43"/>
      <c r="K135" s="43"/>
      <c r="L135" s="43"/>
      <c r="M135" s="84"/>
      <c r="N135" s="79"/>
      <c r="O135" s="42"/>
    </row>
    <row r="136" spans="1:15" ht="52.5" customHeight="1">
      <c r="A136" s="42"/>
      <c r="B136" s="42"/>
      <c r="C136" s="1"/>
      <c r="D136" s="42"/>
      <c r="E136" s="43"/>
      <c r="F136" s="43"/>
      <c r="G136" s="43"/>
      <c r="H136" s="82"/>
      <c r="I136" s="83"/>
      <c r="J136" s="43"/>
      <c r="K136" s="43"/>
      <c r="L136" s="43"/>
      <c r="M136" s="84"/>
      <c r="N136" s="79"/>
      <c r="O136" s="42"/>
    </row>
    <row r="137" spans="1:15" ht="52.5" customHeight="1">
      <c r="A137" s="42"/>
      <c r="B137" s="42"/>
      <c r="C137" s="1"/>
      <c r="D137" s="42"/>
      <c r="E137" s="43"/>
      <c r="F137" s="43"/>
      <c r="G137" s="43"/>
      <c r="H137" s="82"/>
      <c r="I137" s="83"/>
      <c r="J137" s="43"/>
      <c r="K137" s="43"/>
      <c r="L137" s="43"/>
      <c r="M137" s="84"/>
      <c r="N137" s="79"/>
      <c r="O137" s="42"/>
    </row>
    <row r="138" spans="1:15" ht="52.5" customHeight="1">
      <c r="A138" s="42"/>
      <c r="B138" s="42"/>
      <c r="C138" s="1"/>
      <c r="D138" s="42"/>
      <c r="E138" s="43"/>
      <c r="F138" s="43"/>
      <c r="G138" s="43"/>
      <c r="H138" s="82"/>
      <c r="I138" s="83"/>
      <c r="J138" s="43"/>
      <c r="K138" s="43"/>
      <c r="L138" s="43"/>
      <c r="M138" s="84"/>
      <c r="N138" s="79"/>
      <c r="O138" s="42"/>
    </row>
    <row r="139" spans="1:15" ht="52.5" customHeight="1">
      <c r="A139" s="42"/>
      <c r="B139" s="42"/>
      <c r="C139" s="1"/>
      <c r="D139" s="42"/>
      <c r="E139" s="43"/>
      <c r="F139" s="43"/>
      <c r="G139" s="43"/>
      <c r="H139" s="82"/>
      <c r="I139" s="83"/>
      <c r="J139" s="43"/>
      <c r="K139" s="43"/>
      <c r="L139" s="43"/>
      <c r="M139" s="84"/>
      <c r="N139" s="79"/>
      <c r="O139" s="42"/>
    </row>
    <row r="140" spans="1:15" ht="52.5" customHeight="1">
      <c r="A140" s="42"/>
      <c r="B140" s="42"/>
      <c r="C140" s="1"/>
      <c r="D140" s="42"/>
      <c r="E140" s="43"/>
      <c r="F140" s="43"/>
      <c r="G140" s="43"/>
      <c r="H140" s="82"/>
      <c r="I140" s="83"/>
      <c r="J140" s="43"/>
      <c r="K140" s="43"/>
      <c r="L140" s="43"/>
      <c r="M140" s="84"/>
      <c r="N140" s="79"/>
      <c r="O140" s="42"/>
    </row>
    <row r="141" spans="1:15" ht="52.5" customHeight="1">
      <c r="A141" s="42"/>
      <c r="B141" s="42"/>
      <c r="C141" s="1"/>
      <c r="D141" s="42"/>
      <c r="E141" s="43"/>
      <c r="F141" s="43"/>
      <c r="G141" s="43"/>
      <c r="H141" s="82"/>
      <c r="I141" s="83"/>
      <c r="J141" s="43"/>
      <c r="K141" s="43"/>
      <c r="L141" s="43"/>
      <c r="M141" s="84"/>
      <c r="N141" s="79"/>
      <c r="O141" s="42"/>
    </row>
    <row r="142" spans="1:15" ht="52.5" customHeight="1">
      <c r="A142" s="42"/>
      <c r="B142" s="42"/>
      <c r="C142" s="1"/>
      <c r="D142" s="42"/>
      <c r="E142" s="43"/>
      <c r="F142" s="43"/>
      <c r="G142" s="43"/>
      <c r="H142" s="82"/>
      <c r="I142" s="83"/>
      <c r="J142" s="43"/>
      <c r="K142" s="43"/>
      <c r="L142" s="43"/>
      <c r="M142" s="84"/>
      <c r="N142" s="79"/>
      <c r="O142" s="42"/>
    </row>
    <row r="143" spans="1:15" ht="52.5" customHeight="1">
      <c r="A143" s="42"/>
      <c r="B143" s="42"/>
      <c r="C143" s="1"/>
      <c r="D143" s="42"/>
      <c r="E143" s="43"/>
      <c r="F143" s="43"/>
      <c r="G143" s="43"/>
      <c r="H143" s="82"/>
      <c r="I143" s="83"/>
      <c r="J143" s="43"/>
      <c r="K143" s="43"/>
      <c r="L143" s="43"/>
      <c r="M143" s="84"/>
      <c r="N143" s="79"/>
      <c r="O143" s="42"/>
    </row>
    <row r="144" spans="1:15" ht="52.5" customHeight="1">
      <c r="A144" s="42"/>
      <c r="B144" s="42"/>
      <c r="C144" s="1"/>
      <c r="D144" s="42"/>
      <c r="E144" s="43"/>
      <c r="F144" s="43"/>
      <c r="G144" s="43"/>
      <c r="H144" s="82"/>
      <c r="I144" s="83"/>
      <c r="J144" s="43"/>
      <c r="K144" s="43"/>
      <c r="L144" s="43"/>
      <c r="M144" s="84"/>
      <c r="N144" s="79"/>
      <c r="O144" s="42"/>
    </row>
    <row r="145" spans="1:15" ht="52.5" customHeight="1">
      <c r="A145" s="42"/>
      <c r="B145" s="42"/>
      <c r="C145" s="1"/>
      <c r="D145" s="42"/>
      <c r="E145" s="43"/>
      <c r="F145" s="43"/>
      <c r="G145" s="43"/>
      <c r="H145" s="82"/>
      <c r="I145" s="83"/>
      <c r="J145" s="43"/>
      <c r="K145" s="43"/>
      <c r="L145" s="43"/>
      <c r="M145" s="84"/>
      <c r="N145" s="79"/>
      <c r="O145" s="42"/>
    </row>
    <row r="146" spans="1:15" ht="52.5" customHeight="1">
      <c r="A146" s="42"/>
      <c r="B146" s="42"/>
      <c r="C146" s="1"/>
      <c r="D146" s="42"/>
      <c r="E146" s="43"/>
      <c r="F146" s="43"/>
      <c r="G146" s="43"/>
      <c r="H146" s="82"/>
      <c r="I146" s="83"/>
      <c r="J146" s="43"/>
      <c r="K146" s="43"/>
      <c r="L146" s="43"/>
      <c r="M146" s="84"/>
      <c r="N146" s="79"/>
      <c r="O146" s="42"/>
    </row>
    <row r="147" spans="1:15" ht="52.5" customHeight="1">
      <c r="A147" s="42"/>
      <c r="B147" s="42"/>
      <c r="C147" s="1"/>
      <c r="D147" s="42"/>
      <c r="E147" s="43"/>
      <c r="F147" s="43"/>
      <c r="G147" s="43"/>
      <c r="H147" s="82"/>
      <c r="I147" s="83"/>
      <c r="J147" s="43"/>
      <c r="K147" s="43"/>
      <c r="L147" s="43"/>
      <c r="M147" s="84"/>
      <c r="N147" s="79"/>
      <c r="O147" s="42"/>
    </row>
    <row r="148" spans="1:15" ht="52.5" customHeight="1">
      <c r="A148" s="42"/>
      <c r="B148" s="42"/>
      <c r="C148" s="1"/>
      <c r="D148" s="42"/>
      <c r="E148" s="43"/>
      <c r="F148" s="43"/>
      <c r="G148" s="43"/>
      <c r="H148" s="82"/>
      <c r="I148" s="83"/>
      <c r="J148" s="43"/>
      <c r="K148" s="43"/>
      <c r="L148" s="43"/>
      <c r="M148" s="84"/>
      <c r="N148" s="79"/>
      <c r="O148" s="42"/>
    </row>
    <row r="149" spans="1:15" ht="52.5" customHeight="1">
      <c r="A149" s="42"/>
      <c r="B149" s="42"/>
      <c r="C149" s="1"/>
      <c r="D149" s="42"/>
      <c r="E149" s="43"/>
      <c r="F149" s="43"/>
      <c r="G149" s="43"/>
      <c r="H149" s="82"/>
      <c r="I149" s="83"/>
      <c r="J149" s="43"/>
      <c r="K149" s="43"/>
      <c r="L149" s="43"/>
      <c r="M149" s="84"/>
      <c r="N149" s="79"/>
      <c r="O149" s="42"/>
    </row>
    <row r="150" spans="1:15" ht="52.5" customHeight="1">
      <c r="A150" s="42"/>
      <c r="B150" s="42"/>
      <c r="C150" s="1"/>
      <c r="D150" s="42"/>
      <c r="E150" s="43"/>
      <c r="F150" s="43"/>
      <c r="G150" s="43"/>
      <c r="H150" s="82"/>
      <c r="I150" s="83"/>
      <c r="J150" s="43"/>
      <c r="K150" s="43"/>
      <c r="L150" s="43"/>
      <c r="M150" s="84"/>
      <c r="N150" s="79"/>
      <c r="O150" s="42"/>
    </row>
    <row r="151" spans="1:15" ht="52.5" customHeight="1">
      <c r="A151" s="42"/>
      <c r="B151" s="42"/>
      <c r="C151" s="1"/>
      <c r="D151" s="42"/>
      <c r="E151" s="43"/>
      <c r="F151" s="43"/>
      <c r="G151" s="43"/>
      <c r="H151" s="82"/>
      <c r="I151" s="83"/>
      <c r="J151" s="43"/>
      <c r="K151" s="43"/>
      <c r="L151" s="43"/>
      <c r="M151" s="84"/>
      <c r="N151" s="79"/>
      <c r="O151" s="42"/>
    </row>
    <row r="152" spans="1:15" ht="52.5" customHeight="1">
      <c r="A152" s="42"/>
      <c r="B152" s="42"/>
      <c r="C152" s="1"/>
      <c r="D152" s="42"/>
      <c r="E152" s="43"/>
      <c r="F152" s="43"/>
      <c r="G152" s="43"/>
      <c r="H152" s="82"/>
      <c r="I152" s="83"/>
      <c r="J152" s="43"/>
      <c r="K152" s="43"/>
      <c r="L152" s="43"/>
      <c r="M152" s="84"/>
      <c r="N152" s="79"/>
      <c r="O152" s="42"/>
    </row>
    <row r="153" spans="1:15" ht="52.5" customHeight="1">
      <c r="A153" s="42"/>
      <c r="B153" s="42"/>
      <c r="C153" s="1"/>
      <c r="D153" s="42"/>
      <c r="E153" s="43"/>
      <c r="F153" s="43"/>
      <c r="G153" s="43"/>
      <c r="H153" s="82"/>
      <c r="I153" s="83"/>
      <c r="J153" s="43"/>
      <c r="K153" s="43"/>
      <c r="L153" s="43"/>
      <c r="M153" s="84"/>
      <c r="N153" s="79"/>
      <c r="O153" s="42"/>
    </row>
    <row r="154" spans="1:15" ht="52.5" customHeight="1">
      <c r="A154" s="42"/>
      <c r="B154" s="42"/>
      <c r="C154" s="1"/>
      <c r="D154" s="42"/>
      <c r="E154" s="43"/>
      <c r="F154" s="43"/>
      <c r="G154" s="43"/>
      <c r="H154" s="82"/>
      <c r="I154" s="83"/>
      <c r="J154" s="43"/>
      <c r="K154" s="43"/>
      <c r="L154" s="43"/>
      <c r="M154" s="84"/>
      <c r="N154" s="79"/>
      <c r="O154" s="42"/>
    </row>
    <row r="155" spans="1:15" ht="52.5" customHeight="1">
      <c r="A155" s="42"/>
      <c r="B155" s="42"/>
      <c r="C155" s="1"/>
      <c r="D155" s="42"/>
      <c r="E155" s="43"/>
      <c r="F155" s="43"/>
      <c r="G155" s="43"/>
      <c r="H155" s="82"/>
      <c r="I155" s="83"/>
      <c r="J155" s="43"/>
      <c r="K155" s="43"/>
      <c r="L155" s="43"/>
      <c r="M155" s="84"/>
      <c r="N155" s="79"/>
      <c r="O155" s="42"/>
    </row>
    <row r="156" spans="1:15" ht="52.5" customHeight="1">
      <c r="A156" s="42"/>
      <c r="B156" s="42"/>
      <c r="C156" s="1"/>
      <c r="D156" s="42"/>
      <c r="E156" s="43"/>
      <c r="F156" s="43"/>
      <c r="G156" s="43"/>
      <c r="H156" s="82"/>
      <c r="I156" s="83"/>
      <c r="J156" s="43"/>
      <c r="K156" s="43"/>
      <c r="L156" s="43"/>
      <c r="M156" s="84"/>
      <c r="N156" s="79"/>
      <c r="O156" s="42"/>
    </row>
    <row r="157" spans="1:15" ht="52.5" customHeight="1">
      <c r="A157" s="42"/>
      <c r="B157" s="42"/>
      <c r="C157" s="1"/>
      <c r="D157" s="42"/>
      <c r="E157" s="43"/>
      <c r="F157" s="43"/>
      <c r="G157" s="43"/>
      <c r="H157" s="82"/>
      <c r="I157" s="83"/>
      <c r="J157" s="43"/>
      <c r="K157" s="43"/>
      <c r="L157" s="43"/>
      <c r="M157" s="84"/>
      <c r="N157" s="79"/>
      <c r="O157" s="42"/>
    </row>
    <row r="158" spans="1:15" ht="52.5" customHeight="1">
      <c r="A158" s="42"/>
      <c r="B158" s="42"/>
      <c r="C158" s="1"/>
      <c r="D158" s="42"/>
      <c r="E158" s="43"/>
      <c r="F158" s="43"/>
      <c r="G158" s="43"/>
      <c r="H158" s="82"/>
      <c r="I158" s="83"/>
      <c r="J158" s="43"/>
      <c r="K158" s="43"/>
      <c r="L158" s="43"/>
      <c r="M158" s="84"/>
      <c r="N158" s="79"/>
      <c r="O158" s="42"/>
    </row>
    <row r="159" spans="1:15" ht="52.5" customHeight="1">
      <c r="A159" s="42"/>
      <c r="B159" s="42"/>
      <c r="C159" s="1"/>
      <c r="D159" s="42"/>
      <c r="E159" s="43"/>
      <c r="F159" s="43"/>
      <c r="G159" s="43"/>
      <c r="H159" s="82"/>
      <c r="I159" s="83"/>
      <c r="J159" s="43"/>
      <c r="K159" s="43"/>
      <c r="L159" s="43"/>
      <c r="M159" s="84"/>
      <c r="N159" s="79"/>
      <c r="O159" s="42"/>
    </row>
    <row r="160" spans="1:15" ht="52.5" customHeight="1">
      <c r="A160" s="42"/>
      <c r="B160" s="42"/>
      <c r="C160" s="1"/>
      <c r="D160" s="42"/>
      <c r="E160" s="43"/>
      <c r="F160" s="43"/>
      <c r="G160" s="43"/>
      <c r="H160" s="82"/>
      <c r="I160" s="83"/>
      <c r="J160" s="43"/>
      <c r="K160" s="43"/>
      <c r="L160" s="43"/>
      <c r="M160" s="84"/>
      <c r="N160" s="79"/>
      <c r="O160" s="42"/>
    </row>
    <row r="161" spans="1:15" ht="52.5" customHeight="1">
      <c r="A161" s="42"/>
      <c r="B161" s="42"/>
      <c r="C161" s="1"/>
      <c r="D161" s="42"/>
      <c r="E161" s="43"/>
      <c r="F161" s="43"/>
      <c r="G161" s="43"/>
      <c r="H161" s="82"/>
      <c r="I161" s="83"/>
      <c r="J161" s="43"/>
      <c r="K161" s="43"/>
      <c r="L161" s="43"/>
      <c r="M161" s="84"/>
      <c r="N161" s="79"/>
      <c r="O161" s="42"/>
    </row>
    <row r="162" spans="1:15" ht="52.5" customHeight="1">
      <c r="A162" s="42"/>
      <c r="B162" s="42"/>
      <c r="C162" s="1"/>
      <c r="D162" s="42"/>
      <c r="E162" s="43"/>
      <c r="F162" s="43"/>
      <c r="G162" s="43"/>
      <c r="H162" s="82"/>
      <c r="I162" s="83"/>
      <c r="J162" s="43"/>
      <c r="K162" s="43"/>
      <c r="L162" s="43"/>
      <c r="M162" s="84"/>
      <c r="N162" s="79"/>
      <c r="O162" s="42"/>
    </row>
    <row r="163" spans="1:15" ht="52.5" customHeight="1">
      <c r="A163" s="42"/>
      <c r="B163" s="42"/>
      <c r="C163" s="1"/>
      <c r="D163" s="42"/>
      <c r="E163" s="43"/>
      <c r="F163" s="43"/>
      <c r="G163" s="43"/>
      <c r="H163" s="82"/>
      <c r="I163" s="83"/>
      <c r="J163" s="43"/>
      <c r="K163" s="43"/>
      <c r="L163" s="43"/>
      <c r="M163" s="84"/>
      <c r="N163" s="79"/>
      <c r="O163" s="42"/>
    </row>
    <row r="164" spans="1:15" ht="52.5" customHeight="1">
      <c r="A164" s="42"/>
      <c r="B164" s="42"/>
      <c r="C164" s="1"/>
      <c r="D164" s="42"/>
      <c r="E164" s="43"/>
      <c r="F164" s="43"/>
      <c r="G164" s="43"/>
      <c r="H164" s="82"/>
      <c r="I164" s="83"/>
      <c r="J164" s="43"/>
      <c r="K164" s="43"/>
      <c r="L164" s="43"/>
      <c r="M164" s="84"/>
      <c r="N164" s="79"/>
      <c r="O164" s="42"/>
    </row>
    <row r="165" spans="1:15" ht="52.5" customHeight="1">
      <c r="A165" s="42"/>
      <c r="B165" s="42"/>
      <c r="C165" s="1"/>
      <c r="D165" s="42"/>
      <c r="E165" s="43"/>
      <c r="F165" s="43"/>
      <c r="G165" s="43"/>
      <c r="H165" s="82"/>
      <c r="I165" s="83"/>
      <c r="J165" s="43"/>
      <c r="K165" s="43"/>
      <c r="L165" s="43"/>
      <c r="M165" s="84"/>
      <c r="N165" s="79"/>
      <c r="O165" s="42"/>
    </row>
    <row r="166" spans="1:15" ht="52.5" customHeight="1">
      <c r="A166" s="42"/>
      <c r="B166" s="42"/>
      <c r="C166" s="1"/>
      <c r="D166" s="42"/>
      <c r="E166" s="43"/>
      <c r="F166" s="43"/>
      <c r="G166" s="43"/>
      <c r="H166" s="82"/>
      <c r="I166" s="83"/>
      <c r="J166" s="43"/>
      <c r="K166" s="43"/>
      <c r="L166" s="43"/>
      <c r="M166" s="84"/>
      <c r="N166" s="79"/>
      <c r="O166" s="42"/>
    </row>
    <row r="167" spans="1:15" ht="52.5" customHeight="1">
      <c r="A167" s="42"/>
      <c r="B167" s="42"/>
      <c r="C167" s="1"/>
      <c r="D167" s="42"/>
      <c r="E167" s="43"/>
      <c r="F167" s="43"/>
      <c r="G167" s="43"/>
      <c r="H167" s="82"/>
      <c r="I167" s="83"/>
      <c r="J167" s="43"/>
      <c r="K167" s="43"/>
      <c r="L167" s="43"/>
      <c r="M167" s="84"/>
      <c r="N167" s="79"/>
      <c r="O167" s="42"/>
    </row>
    <row r="168" spans="1:15" ht="52.5" customHeight="1">
      <c r="A168" s="42"/>
      <c r="B168" s="42"/>
      <c r="C168" s="1"/>
      <c r="D168" s="42"/>
      <c r="E168" s="43"/>
      <c r="F168" s="43"/>
      <c r="G168" s="43"/>
      <c r="H168" s="82"/>
      <c r="I168" s="83"/>
      <c r="J168" s="43"/>
      <c r="K168" s="43"/>
      <c r="L168" s="43"/>
      <c r="M168" s="84"/>
      <c r="N168" s="79"/>
      <c r="O168" s="42"/>
    </row>
    <row r="169" spans="1:15" ht="52.5" customHeight="1">
      <c r="A169" s="42"/>
      <c r="B169" s="42"/>
      <c r="C169" s="1"/>
      <c r="D169" s="42"/>
      <c r="E169" s="43"/>
      <c r="F169" s="43"/>
      <c r="G169" s="43"/>
      <c r="H169" s="82"/>
      <c r="I169" s="83"/>
      <c r="J169" s="43"/>
      <c r="K169" s="43"/>
      <c r="L169" s="43"/>
      <c r="M169" s="84"/>
      <c r="N169" s="79"/>
      <c r="O169" s="42"/>
    </row>
    <row r="170" spans="1:15" ht="52.5" customHeight="1">
      <c r="A170" s="42"/>
      <c r="B170" s="42"/>
      <c r="C170" s="1"/>
      <c r="D170" s="42"/>
      <c r="E170" s="43"/>
      <c r="F170" s="43"/>
      <c r="G170" s="43"/>
      <c r="H170" s="82"/>
      <c r="I170" s="83"/>
      <c r="J170" s="43"/>
      <c r="K170" s="43"/>
      <c r="L170" s="43"/>
      <c r="M170" s="84"/>
      <c r="N170" s="79"/>
      <c r="O170" s="42"/>
    </row>
    <row r="171" spans="1:15" ht="52.5" customHeight="1">
      <c r="A171" s="42"/>
      <c r="B171" s="42"/>
      <c r="C171" s="1"/>
      <c r="D171" s="42"/>
      <c r="E171" s="43"/>
      <c r="F171" s="43"/>
      <c r="G171" s="43"/>
      <c r="H171" s="82"/>
      <c r="I171" s="83"/>
      <c r="J171" s="43"/>
      <c r="K171" s="43"/>
      <c r="L171" s="43"/>
      <c r="M171" s="84"/>
      <c r="N171" s="79"/>
      <c r="O171" s="42"/>
    </row>
    <row r="172" spans="1:15" ht="52.5" customHeight="1">
      <c r="A172" s="42"/>
      <c r="B172" s="42"/>
      <c r="C172" s="1"/>
      <c r="D172" s="42"/>
      <c r="E172" s="43"/>
      <c r="F172" s="43"/>
      <c r="G172" s="43"/>
      <c r="H172" s="82"/>
      <c r="I172" s="83"/>
      <c r="J172" s="43"/>
      <c r="K172" s="43"/>
      <c r="L172" s="43"/>
      <c r="M172" s="84"/>
      <c r="N172" s="79"/>
      <c r="O172" s="42"/>
    </row>
    <row r="173" spans="1:15" ht="52.5" customHeight="1">
      <c r="A173" s="42"/>
      <c r="B173" s="42"/>
      <c r="C173" s="1"/>
      <c r="D173" s="42"/>
      <c r="E173" s="43"/>
      <c r="F173" s="43"/>
      <c r="G173" s="43"/>
      <c r="H173" s="82"/>
      <c r="I173" s="83"/>
      <c r="J173" s="43"/>
      <c r="K173" s="43"/>
      <c r="L173" s="43"/>
      <c r="M173" s="84"/>
      <c r="N173" s="79"/>
      <c r="O173" s="42"/>
    </row>
    <row r="174" spans="1:15" ht="52.5" customHeight="1">
      <c r="A174" s="42"/>
      <c r="B174" s="42"/>
      <c r="C174" s="1"/>
      <c r="D174" s="42"/>
      <c r="E174" s="43"/>
      <c r="F174" s="43"/>
      <c r="G174" s="43"/>
      <c r="H174" s="82"/>
      <c r="I174" s="83"/>
      <c r="J174" s="43"/>
      <c r="K174" s="43"/>
      <c r="L174" s="43"/>
      <c r="M174" s="84"/>
      <c r="N174" s="79"/>
      <c r="O174" s="42"/>
    </row>
    <row r="175" spans="1:15" ht="52.5" customHeight="1">
      <c r="A175" s="42"/>
      <c r="B175" s="42"/>
      <c r="C175" s="1"/>
      <c r="D175" s="42"/>
      <c r="E175" s="43"/>
      <c r="F175" s="43"/>
      <c r="G175" s="43"/>
      <c r="H175" s="82"/>
      <c r="I175" s="83"/>
      <c r="J175" s="43"/>
      <c r="K175" s="43"/>
      <c r="L175" s="43"/>
      <c r="M175" s="84"/>
      <c r="N175" s="79"/>
      <c r="O175" s="42"/>
    </row>
    <row r="176" spans="1:15" ht="52.5" customHeight="1">
      <c r="A176" s="42"/>
      <c r="B176" s="42"/>
      <c r="C176" s="1"/>
      <c r="D176" s="42"/>
      <c r="E176" s="43"/>
      <c r="F176" s="43"/>
      <c r="G176" s="43"/>
      <c r="H176" s="82"/>
      <c r="I176" s="83"/>
      <c r="J176" s="43"/>
      <c r="K176" s="43"/>
      <c r="L176" s="43"/>
      <c r="M176" s="84"/>
      <c r="N176" s="79"/>
      <c r="O176" s="42"/>
    </row>
    <row r="177" spans="1:15" ht="52.5" customHeight="1">
      <c r="A177" s="42"/>
      <c r="B177" s="42"/>
      <c r="C177" s="1"/>
      <c r="D177" s="42"/>
      <c r="E177" s="43"/>
      <c r="F177" s="43"/>
      <c r="G177" s="43"/>
      <c r="H177" s="82"/>
      <c r="I177" s="83"/>
      <c r="J177" s="43"/>
      <c r="K177" s="43"/>
      <c r="L177" s="43"/>
      <c r="M177" s="84"/>
      <c r="N177" s="79"/>
      <c r="O177" s="42"/>
    </row>
    <row r="178" spans="1:15" ht="52.5" customHeight="1">
      <c r="A178" s="42"/>
      <c r="B178" s="42"/>
      <c r="C178" s="1"/>
      <c r="D178" s="42"/>
      <c r="E178" s="43"/>
      <c r="F178" s="43"/>
      <c r="G178" s="43"/>
      <c r="H178" s="82"/>
      <c r="I178" s="83"/>
      <c r="J178" s="43"/>
      <c r="K178" s="43"/>
      <c r="L178" s="43"/>
      <c r="M178" s="84"/>
      <c r="N178" s="79"/>
      <c r="O178" s="42"/>
    </row>
    <row r="179" spans="1:15" ht="52.5" customHeight="1">
      <c r="A179" s="42"/>
      <c r="B179" s="42"/>
      <c r="C179" s="1"/>
      <c r="D179" s="42"/>
      <c r="E179" s="43"/>
      <c r="F179" s="43"/>
      <c r="G179" s="43"/>
      <c r="H179" s="82"/>
      <c r="I179" s="83"/>
      <c r="J179" s="43"/>
      <c r="K179" s="43"/>
      <c r="L179" s="43"/>
      <c r="M179" s="84"/>
      <c r="N179" s="79"/>
      <c r="O179" s="42"/>
    </row>
    <row r="180" spans="1:15" ht="52.5" customHeight="1">
      <c r="A180" s="42"/>
      <c r="B180" s="42"/>
      <c r="C180" s="1"/>
      <c r="D180" s="42"/>
      <c r="E180" s="43"/>
      <c r="F180" s="43"/>
      <c r="G180" s="43"/>
      <c r="H180" s="82"/>
      <c r="I180" s="83"/>
      <c r="J180" s="43"/>
      <c r="K180" s="43"/>
      <c r="L180" s="43"/>
      <c r="M180" s="84"/>
      <c r="N180" s="79"/>
      <c r="O180" s="42"/>
    </row>
    <row r="181" spans="1:15" ht="52.5" customHeight="1">
      <c r="A181" s="42"/>
      <c r="B181" s="42"/>
      <c r="C181" s="1"/>
      <c r="D181" s="42"/>
      <c r="E181" s="43"/>
      <c r="F181" s="43"/>
      <c r="G181" s="43"/>
      <c r="H181" s="82"/>
      <c r="I181" s="83"/>
      <c r="J181" s="43"/>
      <c r="K181" s="43"/>
      <c r="L181" s="43"/>
      <c r="M181" s="84"/>
      <c r="N181" s="79"/>
      <c r="O181" s="42"/>
    </row>
    <row r="182" spans="1:15" ht="52.5" customHeight="1">
      <c r="A182" s="42"/>
      <c r="B182" s="42"/>
      <c r="C182" s="1"/>
      <c r="D182" s="42"/>
      <c r="E182" s="43"/>
      <c r="F182" s="43"/>
      <c r="G182" s="43"/>
      <c r="H182" s="82"/>
      <c r="I182" s="83"/>
      <c r="J182" s="43"/>
      <c r="K182" s="43"/>
      <c r="L182" s="43"/>
      <c r="M182" s="84"/>
      <c r="N182" s="79"/>
      <c r="O182" s="42"/>
    </row>
    <row r="183" spans="1:15" ht="52.5" customHeight="1">
      <c r="A183" s="42"/>
      <c r="B183" s="42"/>
      <c r="C183" s="1"/>
      <c r="D183" s="42"/>
      <c r="E183" s="43"/>
      <c r="F183" s="43"/>
      <c r="G183" s="43"/>
      <c r="H183" s="82"/>
      <c r="I183" s="83"/>
      <c r="J183" s="43"/>
      <c r="K183" s="43"/>
      <c r="L183" s="43"/>
      <c r="M183" s="84"/>
      <c r="N183" s="79"/>
      <c r="O183" s="42"/>
    </row>
    <row r="184" spans="1:15" ht="52.5" customHeight="1">
      <c r="A184" s="42"/>
      <c r="B184" s="42"/>
      <c r="C184" s="1"/>
      <c r="D184" s="42"/>
      <c r="E184" s="43"/>
      <c r="F184" s="43"/>
      <c r="G184" s="43"/>
      <c r="H184" s="82"/>
      <c r="I184" s="83"/>
      <c r="J184" s="43"/>
      <c r="K184" s="43"/>
      <c r="L184" s="43"/>
      <c r="M184" s="84"/>
      <c r="N184" s="79"/>
      <c r="O184" s="42"/>
    </row>
    <row r="185" spans="1:15" ht="52.5" customHeight="1">
      <c r="A185" s="42"/>
      <c r="B185" s="42"/>
      <c r="C185" s="1"/>
      <c r="D185" s="42"/>
      <c r="E185" s="43"/>
      <c r="F185" s="43"/>
      <c r="G185" s="43"/>
      <c r="H185" s="82"/>
      <c r="I185" s="83"/>
      <c r="J185" s="43"/>
      <c r="K185" s="43"/>
      <c r="L185" s="43"/>
      <c r="M185" s="84"/>
      <c r="N185" s="79"/>
      <c r="O185" s="42"/>
    </row>
    <row r="186" spans="1:15" ht="52.5" customHeight="1">
      <c r="A186" s="42"/>
      <c r="B186" s="42"/>
      <c r="C186" s="1"/>
      <c r="D186" s="42"/>
      <c r="E186" s="43"/>
      <c r="F186" s="43"/>
      <c r="G186" s="43"/>
      <c r="H186" s="82"/>
      <c r="I186" s="83"/>
      <c r="J186" s="43"/>
      <c r="K186" s="43"/>
      <c r="L186" s="43"/>
      <c r="M186" s="84"/>
      <c r="N186" s="79"/>
      <c r="O186" s="42"/>
    </row>
    <row r="187" spans="1:15" ht="52.5" customHeight="1">
      <c r="A187" s="42"/>
      <c r="B187" s="42"/>
      <c r="C187" s="1"/>
      <c r="D187" s="42"/>
      <c r="E187" s="43"/>
      <c r="F187" s="43"/>
      <c r="G187" s="43"/>
      <c r="H187" s="82"/>
      <c r="I187" s="83"/>
      <c r="J187" s="43"/>
      <c r="K187" s="43"/>
      <c r="L187" s="43"/>
      <c r="M187" s="84"/>
      <c r="N187" s="79"/>
      <c r="O187" s="42"/>
    </row>
    <row r="188" spans="1:15" ht="52.5" customHeight="1">
      <c r="A188" s="42"/>
      <c r="B188" s="42"/>
      <c r="C188" s="1"/>
      <c r="D188" s="42"/>
      <c r="E188" s="43"/>
      <c r="F188" s="43"/>
      <c r="G188" s="43"/>
      <c r="H188" s="82"/>
      <c r="I188" s="83"/>
      <c r="J188" s="43"/>
      <c r="K188" s="43"/>
      <c r="L188" s="43"/>
      <c r="M188" s="84"/>
      <c r="N188" s="79"/>
      <c r="O188" s="42"/>
    </row>
    <row r="189" spans="1:15" ht="52.5" customHeight="1">
      <c r="A189" s="42"/>
      <c r="B189" s="42"/>
      <c r="C189" s="1"/>
      <c r="D189" s="42"/>
      <c r="E189" s="43"/>
      <c r="F189" s="43"/>
      <c r="G189" s="43"/>
      <c r="H189" s="82"/>
      <c r="I189" s="83"/>
      <c r="J189" s="43"/>
      <c r="K189" s="43"/>
      <c r="L189" s="43"/>
      <c r="M189" s="84"/>
      <c r="N189" s="79"/>
      <c r="O189" s="42"/>
    </row>
    <row r="190" spans="1:15" ht="52.5" customHeight="1">
      <c r="A190" s="42"/>
      <c r="B190" s="42"/>
      <c r="C190" s="1"/>
      <c r="D190" s="42"/>
      <c r="E190" s="43"/>
      <c r="F190" s="43"/>
      <c r="G190" s="43"/>
      <c r="H190" s="82"/>
      <c r="I190" s="83"/>
      <c r="J190" s="43"/>
      <c r="K190" s="43"/>
      <c r="L190" s="43"/>
      <c r="M190" s="84"/>
      <c r="N190" s="79"/>
      <c r="O190" s="42"/>
    </row>
    <row r="191" spans="1:15" ht="52.5" customHeight="1">
      <c r="A191" s="42"/>
      <c r="B191" s="42"/>
      <c r="C191" s="1"/>
      <c r="D191" s="42"/>
      <c r="E191" s="43"/>
      <c r="F191" s="43"/>
      <c r="G191" s="43"/>
      <c r="H191" s="82"/>
      <c r="I191" s="83"/>
      <c r="J191" s="43"/>
      <c r="K191" s="43"/>
      <c r="L191" s="43"/>
      <c r="M191" s="84"/>
      <c r="N191" s="79"/>
      <c r="O191" s="42"/>
    </row>
    <row r="192" spans="1:15" ht="52.5" customHeight="1">
      <c r="A192" s="42"/>
      <c r="B192" s="42"/>
      <c r="C192" s="1"/>
      <c r="D192" s="42"/>
      <c r="E192" s="43"/>
      <c r="F192" s="43"/>
      <c r="G192" s="43"/>
      <c r="H192" s="82"/>
      <c r="I192" s="83"/>
      <c r="J192" s="43"/>
      <c r="K192" s="43"/>
      <c r="L192" s="43"/>
      <c r="M192" s="84"/>
      <c r="N192" s="79"/>
      <c r="O192" s="42"/>
    </row>
    <row r="193" spans="1:15" ht="52.5" customHeight="1">
      <c r="A193" s="42"/>
      <c r="B193" s="42"/>
      <c r="C193" s="1"/>
      <c r="D193" s="42"/>
      <c r="E193" s="43"/>
      <c r="F193" s="43"/>
      <c r="G193" s="43"/>
      <c r="H193" s="82"/>
      <c r="I193" s="83"/>
      <c r="J193" s="43"/>
      <c r="K193" s="43"/>
      <c r="L193" s="43"/>
      <c r="M193" s="84"/>
      <c r="N193" s="79"/>
      <c r="O193" s="42"/>
    </row>
    <row r="194" spans="1:15" ht="52.5" customHeight="1">
      <c r="A194" s="42"/>
      <c r="B194" s="42"/>
      <c r="C194" s="1"/>
      <c r="D194" s="42"/>
      <c r="E194" s="43"/>
      <c r="F194" s="43"/>
      <c r="G194" s="43"/>
      <c r="H194" s="82"/>
      <c r="I194" s="83"/>
      <c r="J194" s="43"/>
      <c r="K194" s="43"/>
      <c r="L194" s="43"/>
      <c r="M194" s="84"/>
      <c r="N194" s="79"/>
      <c r="O194" s="42"/>
    </row>
    <row r="195" spans="1:15" ht="52.5" customHeight="1">
      <c r="A195" s="42"/>
      <c r="B195" s="42"/>
      <c r="C195" s="1"/>
      <c r="D195" s="42"/>
      <c r="E195" s="43"/>
      <c r="F195" s="43"/>
      <c r="G195" s="43"/>
      <c r="H195" s="82"/>
      <c r="I195" s="83"/>
      <c r="J195" s="43"/>
      <c r="K195" s="43"/>
      <c r="L195" s="43"/>
      <c r="M195" s="84"/>
      <c r="N195" s="79"/>
      <c r="O195" s="42"/>
    </row>
    <row r="196" spans="1:15" ht="52.5" customHeight="1">
      <c r="A196" s="42"/>
      <c r="B196" s="42"/>
      <c r="C196" s="1"/>
      <c r="D196" s="42"/>
      <c r="E196" s="43"/>
      <c r="F196" s="43"/>
      <c r="G196" s="43"/>
      <c r="H196" s="82"/>
      <c r="I196" s="83"/>
      <c r="J196" s="43"/>
      <c r="K196" s="43"/>
      <c r="L196" s="43"/>
      <c r="M196" s="84"/>
      <c r="N196" s="79"/>
      <c r="O196" s="42"/>
    </row>
    <row r="197" spans="1:15" ht="52.5" customHeight="1">
      <c r="A197" s="42"/>
      <c r="B197" s="42"/>
      <c r="C197" s="1"/>
      <c r="D197" s="42"/>
      <c r="E197" s="43"/>
      <c r="F197" s="43"/>
      <c r="G197" s="43"/>
      <c r="H197" s="82"/>
      <c r="I197" s="83"/>
      <c r="J197" s="43"/>
      <c r="K197" s="43"/>
      <c r="L197" s="43"/>
      <c r="M197" s="84"/>
      <c r="N197" s="79"/>
      <c r="O197" s="42"/>
    </row>
    <row r="198" spans="1:15" ht="52.5" customHeight="1">
      <c r="A198" s="42"/>
      <c r="B198" s="42"/>
      <c r="C198" s="1"/>
      <c r="D198" s="42"/>
      <c r="E198" s="43"/>
      <c r="F198" s="43"/>
      <c r="G198" s="43"/>
      <c r="H198" s="82"/>
      <c r="I198" s="83"/>
      <c r="J198" s="43"/>
      <c r="K198" s="43"/>
      <c r="L198" s="43"/>
      <c r="M198" s="84"/>
      <c r="N198" s="79"/>
      <c r="O198" s="42"/>
    </row>
    <row r="199" spans="1:15" ht="52.5" customHeight="1">
      <c r="A199" s="42"/>
      <c r="B199" s="42"/>
      <c r="C199" s="1"/>
      <c r="D199" s="42"/>
      <c r="E199" s="43"/>
      <c r="F199" s="43"/>
      <c r="G199" s="43"/>
      <c r="H199" s="82"/>
      <c r="I199" s="83"/>
      <c r="J199" s="43"/>
      <c r="K199" s="43"/>
      <c r="L199" s="43"/>
      <c r="M199" s="84"/>
      <c r="N199" s="79"/>
      <c r="O199" s="42"/>
    </row>
    <row r="200" spans="1:15" ht="52.5" customHeight="1">
      <c r="A200" s="42"/>
      <c r="B200" s="42"/>
      <c r="C200" s="1"/>
      <c r="D200" s="42"/>
      <c r="E200" s="43"/>
      <c r="F200" s="43"/>
      <c r="G200" s="43"/>
      <c r="H200" s="82"/>
      <c r="I200" s="83"/>
      <c r="J200" s="43"/>
      <c r="K200" s="43"/>
      <c r="L200" s="43"/>
      <c r="M200" s="84"/>
      <c r="N200" s="79"/>
      <c r="O200" s="42"/>
    </row>
    <row r="201" spans="1:15" ht="52.5" customHeight="1">
      <c r="A201" s="42"/>
      <c r="B201" s="42"/>
      <c r="C201" s="1"/>
      <c r="D201" s="42"/>
      <c r="E201" s="43"/>
      <c r="F201" s="43"/>
      <c r="G201" s="43"/>
      <c r="H201" s="82"/>
      <c r="I201" s="83"/>
      <c r="J201" s="43"/>
      <c r="K201" s="43"/>
      <c r="L201" s="43"/>
      <c r="M201" s="84"/>
      <c r="N201" s="79"/>
      <c r="O201" s="42"/>
    </row>
    <row r="202" spans="1:15" ht="52.5" customHeight="1">
      <c r="A202" s="42"/>
      <c r="B202" s="42"/>
      <c r="C202" s="1"/>
      <c r="D202" s="42"/>
      <c r="E202" s="43"/>
      <c r="F202" s="43"/>
      <c r="G202" s="43"/>
      <c r="H202" s="82"/>
      <c r="I202" s="83"/>
      <c r="J202" s="43"/>
      <c r="K202" s="43"/>
      <c r="L202" s="43"/>
      <c r="M202" s="84"/>
      <c r="N202" s="79"/>
      <c r="O202" s="42"/>
    </row>
    <row r="203" spans="1:15" ht="52.5" customHeight="1">
      <c r="A203" s="42"/>
      <c r="B203" s="42"/>
      <c r="C203" s="1"/>
      <c r="D203" s="42"/>
      <c r="E203" s="43"/>
      <c r="F203" s="43"/>
      <c r="G203" s="43"/>
      <c r="H203" s="82"/>
      <c r="I203" s="83"/>
      <c r="J203" s="43"/>
      <c r="K203" s="43"/>
      <c r="L203" s="43"/>
      <c r="M203" s="84"/>
      <c r="N203" s="79"/>
      <c r="O203" s="42"/>
    </row>
    <row r="204" spans="1:15" ht="52.5" customHeight="1">
      <c r="A204" s="42"/>
      <c r="B204" s="42"/>
      <c r="C204" s="1"/>
      <c r="D204" s="42"/>
      <c r="E204" s="43"/>
      <c r="F204" s="43"/>
      <c r="G204" s="43"/>
      <c r="H204" s="82"/>
      <c r="I204" s="83"/>
      <c r="J204" s="43"/>
      <c r="K204" s="43"/>
      <c r="L204" s="43"/>
      <c r="M204" s="84"/>
      <c r="N204" s="79"/>
      <c r="O204" s="42"/>
    </row>
    <row r="205" spans="1:15" ht="52.5" customHeight="1">
      <c r="A205" s="42"/>
      <c r="B205" s="42"/>
      <c r="C205" s="1"/>
      <c r="D205" s="42"/>
      <c r="E205" s="43"/>
      <c r="F205" s="43"/>
      <c r="G205" s="43"/>
      <c r="H205" s="82"/>
      <c r="I205" s="83"/>
      <c r="J205" s="43"/>
      <c r="K205" s="43"/>
      <c r="L205" s="43"/>
      <c r="M205" s="84"/>
      <c r="N205" s="79"/>
      <c r="O205" s="42"/>
    </row>
    <row r="206" spans="1:15" ht="52.5" customHeight="1">
      <c r="A206" s="42"/>
      <c r="B206" s="42"/>
      <c r="C206" s="1"/>
      <c r="D206" s="42"/>
      <c r="E206" s="43"/>
      <c r="F206" s="43"/>
      <c r="G206" s="43"/>
      <c r="H206" s="82"/>
      <c r="I206" s="83"/>
      <c r="J206" s="43"/>
      <c r="K206" s="43"/>
      <c r="L206" s="43"/>
      <c r="M206" s="84"/>
      <c r="N206" s="79"/>
      <c r="O206" s="42"/>
    </row>
    <row r="207" spans="1:15" ht="52.5" customHeight="1">
      <c r="A207" s="42"/>
      <c r="B207" s="42"/>
      <c r="C207" s="1"/>
      <c r="D207" s="42"/>
      <c r="E207" s="43"/>
      <c r="F207" s="43"/>
      <c r="G207" s="43"/>
      <c r="H207" s="82"/>
      <c r="I207" s="83"/>
      <c r="J207" s="43"/>
      <c r="K207" s="43"/>
      <c r="L207" s="43"/>
      <c r="M207" s="84"/>
      <c r="N207" s="79"/>
      <c r="O207" s="42"/>
    </row>
    <row r="208" spans="1:15" ht="52.5" customHeight="1">
      <c r="A208" s="42"/>
      <c r="B208" s="42"/>
      <c r="C208" s="1"/>
      <c r="D208" s="42"/>
      <c r="E208" s="43"/>
      <c r="F208" s="43"/>
      <c r="G208" s="43"/>
      <c r="H208" s="82"/>
      <c r="I208" s="83"/>
      <c r="J208" s="43"/>
      <c r="K208" s="43"/>
      <c r="L208" s="43"/>
      <c r="M208" s="84"/>
      <c r="N208" s="79"/>
      <c r="O208" s="42"/>
    </row>
    <row r="209" spans="1:15" ht="52.5" customHeight="1">
      <c r="A209" s="42"/>
      <c r="B209" s="42"/>
      <c r="C209" s="1"/>
      <c r="D209" s="42"/>
      <c r="E209" s="43"/>
      <c r="F209" s="43"/>
      <c r="G209" s="43"/>
      <c r="H209" s="82"/>
      <c r="I209" s="83"/>
      <c r="J209" s="43"/>
      <c r="K209" s="43"/>
      <c r="L209" s="43"/>
      <c r="M209" s="84"/>
      <c r="N209" s="79"/>
      <c r="O209" s="42"/>
    </row>
    <row r="210" spans="1:15" ht="52.5" customHeight="1">
      <c r="A210" s="42"/>
      <c r="B210" s="42"/>
      <c r="C210" s="1"/>
      <c r="D210" s="42"/>
      <c r="E210" s="43"/>
      <c r="F210" s="43"/>
      <c r="G210" s="43"/>
      <c r="H210" s="82"/>
      <c r="I210" s="83"/>
      <c r="J210" s="43"/>
      <c r="K210" s="43"/>
      <c r="L210" s="43"/>
      <c r="M210" s="84"/>
      <c r="N210" s="79"/>
      <c r="O210" s="42"/>
    </row>
    <row r="211" spans="1:15" ht="52.5" customHeight="1">
      <c r="A211" s="42"/>
      <c r="B211" s="42"/>
      <c r="C211" s="1"/>
      <c r="D211" s="42"/>
      <c r="E211" s="43"/>
      <c r="F211" s="43"/>
      <c r="G211" s="43"/>
      <c r="H211" s="82"/>
      <c r="I211" s="83"/>
      <c r="J211" s="43"/>
      <c r="K211" s="43"/>
      <c r="L211" s="43"/>
      <c r="M211" s="84"/>
      <c r="N211" s="79"/>
      <c r="O211" s="42"/>
    </row>
    <row r="212" spans="1:15" ht="52.5" customHeight="1">
      <c r="A212" s="42"/>
      <c r="B212" s="42"/>
      <c r="C212" s="1"/>
      <c r="D212" s="42"/>
      <c r="E212" s="43"/>
      <c r="F212" s="43"/>
      <c r="G212" s="43"/>
      <c r="H212" s="82"/>
      <c r="I212" s="83"/>
      <c r="J212" s="43"/>
      <c r="K212" s="43"/>
      <c r="L212" s="43"/>
      <c r="M212" s="84"/>
      <c r="N212" s="79"/>
      <c r="O212" s="42"/>
    </row>
    <row r="213" spans="1:15" ht="52.5" customHeight="1">
      <c r="A213" s="42"/>
      <c r="B213" s="42"/>
      <c r="C213" s="1"/>
      <c r="D213" s="42"/>
      <c r="E213" s="43"/>
      <c r="F213" s="43"/>
      <c r="G213" s="43"/>
      <c r="H213" s="82"/>
      <c r="I213" s="83"/>
      <c r="J213" s="43"/>
      <c r="K213" s="43"/>
      <c r="L213" s="43"/>
      <c r="M213" s="84"/>
      <c r="N213" s="79"/>
      <c r="O213" s="42"/>
    </row>
    <row r="214" spans="1:15" ht="52.5" customHeight="1">
      <c r="A214" s="42"/>
      <c r="B214" s="42"/>
      <c r="C214" s="1"/>
      <c r="D214" s="42"/>
      <c r="E214" s="43"/>
      <c r="F214" s="43"/>
      <c r="G214" s="43"/>
      <c r="H214" s="82"/>
      <c r="I214" s="83"/>
      <c r="J214" s="43"/>
      <c r="K214" s="43"/>
      <c r="L214" s="43"/>
      <c r="M214" s="84"/>
      <c r="N214" s="79"/>
      <c r="O214" s="42"/>
    </row>
    <row r="215" spans="1:15" ht="52.5" customHeight="1">
      <c r="A215" s="42"/>
      <c r="B215" s="42"/>
      <c r="C215" s="1"/>
      <c r="D215" s="42"/>
      <c r="E215" s="43"/>
      <c r="F215" s="43"/>
      <c r="G215" s="43"/>
      <c r="H215" s="82"/>
      <c r="I215" s="83"/>
      <c r="J215" s="43"/>
      <c r="K215" s="43"/>
      <c r="L215" s="43"/>
      <c r="M215" s="84"/>
      <c r="N215" s="79"/>
      <c r="O215" s="42"/>
    </row>
    <row r="216" spans="1:15" ht="52.5" customHeight="1">
      <c r="A216" s="42"/>
      <c r="B216" s="42"/>
      <c r="C216" s="1"/>
      <c r="D216" s="42"/>
      <c r="E216" s="43"/>
      <c r="F216" s="43"/>
      <c r="G216" s="43"/>
      <c r="H216" s="82"/>
      <c r="I216" s="83"/>
      <c r="J216" s="43"/>
      <c r="K216" s="43"/>
      <c r="L216" s="43"/>
      <c r="M216" s="84"/>
      <c r="N216" s="79"/>
      <c r="O216" s="42"/>
    </row>
    <row r="217" spans="1:15" ht="52.5" customHeight="1">
      <c r="A217" s="42"/>
      <c r="B217" s="42"/>
      <c r="C217" s="1"/>
      <c r="D217" s="42"/>
      <c r="E217" s="43"/>
      <c r="F217" s="43"/>
      <c r="G217" s="43"/>
      <c r="H217" s="82"/>
      <c r="I217" s="83"/>
      <c r="J217" s="43"/>
      <c r="K217" s="43"/>
      <c r="L217" s="43"/>
      <c r="M217" s="84"/>
      <c r="N217" s="79"/>
      <c r="O217" s="42"/>
    </row>
    <row r="218" spans="1:15" ht="52.5" customHeight="1">
      <c r="A218" s="42"/>
      <c r="B218" s="42"/>
      <c r="C218" s="1"/>
      <c r="D218" s="42"/>
      <c r="E218" s="43"/>
      <c r="F218" s="43"/>
      <c r="G218" s="43"/>
      <c r="H218" s="82"/>
      <c r="I218" s="83"/>
      <c r="J218" s="43"/>
      <c r="K218" s="43"/>
      <c r="L218" s="43"/>
      <c r="M218" s="84"/>
      <c r="N218" s="79"/>
      <c r="O218" s="42"/>
    </row>
    <row r="219" spans="1:15" ht="52.5" customHeight="1">
      <c r="A219" s="42"/>
      <c r="B219" s="42"/>
      <c r="C219" s="1"/>
      <c r="D219" s="42"/>
      <c r="E219" s="43"/>
      <c r="F219" s="43"/>
      <c r="G219" s="43"/>
      <c r="H219" s="82"/>
      <c r="I219" s="83"/>
      <c r="J219" s="43"/>
      <c r="K219" s="43"/>
      <c r="L219" s="43"/>
      <c r="M219" s="84"/>
      <c r="N219" s="79"/>
      <c r="O219" s="42"/>
    </row>
    <row r="220" spans="1:15" ht="52.5" customHeight="1">
      <c r="A220" s="42"/>
      <c r="B220" s="42"/>
      <c r="C220" s="1"/>
      <c r="D220" s="42"/>
      <c r="E220" s="43"/>
      <c r="F220" s="43"/>
      <c r="G220" s="43"/>
      <c r="H220" s="82"/>
      <c r="I220" s="83"/>
      <c r="J220" s="43"/>
      <c r="K220" s="43"/>
      <c r="L220" s="43"/>
      <c r="M220" s="84"/>
      <c r="N220" s="79"/>
      <c r="O220" s="42"/>
    </row>
    <row r="221" spans="1:15" ht="52.5" customHeight="1">
      <c r="A221" s="42"/>
      <c r="B221" s="42"/>
      <c r="C221" s="1"/>
      <c r="D221" s="42"/>
      <c r="E221" s="43"/>
      <c r="F221" s="43"/>
      <c r="G221" s="43"/>
      <c r="H221" s="82"/>
      <c r="I221" s="83"/>
      <c r="J221" s="43"/>
      <c r="K221" s="43"/>
      <c r="L221" s="43"/>
      <c r="M221" s="84"/>
      <c r="N221" s="79"/>
      <c r="O221" s="42"/>
    </row>
    <row r="222" spans="1:15" ht="52.5" customHeight="1">
      <c r="A222" s="42"/>
      <c r="B222" s="42"/>
      <c r="C222" s="1"/>
      <c r="D222" s="42"/>
      <c r="E222" s="43"/>
      <c r="F222" s="43"/>
      <c r="G222" s="43"/>
      <c r="H222" s="82"/>
      <c r="I222" s="83"/>
      <c r="J222" s="43"/>
      <c r="K222" s="43"/>
      <c r="L222" s="43"/>
      <c r="M222" s="84"/>
      <c r="N222" s="79"/>
      <c r="O222" s="42"/>
    </row>
    <row r="223" spans="1:15" ht="52.5" customHeight="1">
      <c r="A223" s="42"/>
      <c r="B223" s="42"/>
      <c r="C223" s="1"/>
      <c r="D223" s="42"/>
      <c r="E223" s="43"/>
      <c r="F223" s="43"/>
      <c r="G223" s="43"/>
      <c r="H223" s="82"/>
      <c r="I223" s="83"/>
      <c r="J223" s="43"/>
      <c r="K223" s="43"/>
      <c r="L223" s="43"/>
      <c r="M223" s="84"/>
      <c r="N223" s="79"/>
      <c r="O223" s="42"/>
    </row>
    <row r="224" spans="1:15" ht="52.5" customHeight="1">
      <c r="A224" s="42"/>
      <c r="B224" s="42"/>
      <c r="C224" s="1"/>
      <c r="D224" s="42"/>
      <c r="E224" s="43"/>
      <c r="F224" s="43"/>
      <c r="G224" s="43"/>
      <c r="H224" s="82"/>
      <c r="I224" s="83"/>
      <c r="J224" s="43"/>
      <c r="K224" s="43"/>
      <c r="L224" s="43"/>
      <c r="M224" s="84"/>
      <c r="N224" s="79"/>
      <c r="O224" s="42"/>
    </row>
    <row r="225" spans="1:15" ht="52.5" customHeight="1">
      <c r="A225" s="42"/>
      <c r="B225" s="42"/>
      <c r="C225" s="1"/>
      <c r="D225" s="42"/>
      <c r="E225" s="43"/>
      <c r="F225" s="43"/>
      <c r="G225" s="43"/>
      <c r="H225" s="82"/>
      <c r="I225" s="83"/>
      <c r="J225" s="43"/>
      <c r="K225" s="43"/>
      <c r="L225" s="43"/>
      <c r="M225" s="84"/>
      <c r="N225" s="79"/>
      <c r="O225" s="42"/>
    </row>
    <row r="226" spans="1:15" ht="52.5" customHeight="1">
      <c r="A226" s="42"/>
      <c r="B226" s="42"/>
      <c r="C226" s="1"/>
      <c r="D226" s="42"/>
      <c r="E226" s="43"/>
      <c r="F226" s="43"/>
      <c r="G226" s="43"/>
      <c r="H226" s="82"/>
      <c r="I226" s="83"/>
      <c r="J226" s="43"/>
      <c r="K226" s="43"/>
      <c r="L226" s="43"/>
      <c r="M226" s="84"/>
      <c r="N226" s="79"/>
      <c r="O226" s="42"/>
    </row>
    <row r="227" spans="1:15" ht="52.5" customHeight="1">
      <c r="A227" s="42"/>
      <c r="B227" s="42"/>
      <c r="C227" s="1"/>
      <c r="D227" s="42"/>
      <c r="E227" s="43"/>
      <c r="F227" s="43"/>
      <c r="G227" s="43"/>
      <c r="H227" s="82"/>
      <c r="I227" s="83"/>
      <c r="J227" s="43"/>
      <c r="K227" s="43"/>
      <c r="L227" s="43"/>
      <c r="M227" s="84"/>
      <c r="N227" s="79"/>
      <c r="O227" s="42"/>
    </row>
    <row r="228" spans="1:15" ht="52.5" customHeight="1">
      <c r="A228" s="42"/>
      <c r="B228" s="42"/>
      <c r="C228" s="1"/>
      <c r="D228" s="42"/>
      <c r="E228" s="43"/>
      <c r="F228" s="43"/>
      <c r="G228" s="43"/>
      <c r="H228" s="82"/>
      <c r="I228" s="83"/>
      <c r="J228" s="43"/>
      <c r="K228" s="43"/>
      <c r="L228" s="43"/>
      <c r="M228" s="84"/>
      <c r="N228" s="79"/>
      <c r="O228" s="42"/>
    </row>
    <row r="229" spans="1:15" ht="52.5" customHeight="1">
      <c r="A229" s="42"/>
      <c r="B229" s="42"/>
      <c r="C229" s="1"/>
      <c r="D229" s="42"/>
      <c r="E229" s="43"/>
      <c r="F229" s="43"/>
      <c r="G229" s="43"/>
      <c r="H229" s="82"/>
      <c r="I229" s="83"/>
      <c r="J229" s="43"/>
      <c r="K229" s="43"/>
      <c r="L229" s="43"/>
      <c r="M229" s="84"/>
      <c r="N229" s="79"/>
      <c r="O229" s="42"/>
    </row>
    <row r="230" spans="1:15" ht="52.5" customHeight="1">
      <c r="A230" s="42"/>
      <c r="B230" s="42"/>
      <c r="C230" s="1"/>
      <c r="D230" s="42"/>
      <c r="E230" s="43"/>
      <c r="F230" s="43"/>
      <c r="G230" s="43"/>
      <c r="H230" s="82"/>
      <c r="I230" s="83"/>
      <c r="J230" s="43"/>
      <c r="K230" s="43"/>
      <c r="L230" s="43"/>
      <c r="M230" s="84"/>
      <c r="N230" s="79"/>
      <c r="O230" s="42"/>
    </row>
  </sheetData>
  <autoFilter ref="A1:N30" xr:uid="{00000000-0009-0000-0000-000003000000}"/>
  <customSheetViews>
    <customSheetView guid="{8A52195C-3642-4F94-BF33-9498E684A452}" filter="1" showAutoFilter="1">
      <pageMargins left="0.7" right="0.7" top="0.75" bottom="0.75" header="0.3" footer="0.3"/>
      <autoFilter ref="A1:N66" xr:uid="{82E21CC6-0589-074C-B3BF-114B203D21D6}"/>
      <extLst>
        <ext uri="GoogleSheetsCustomDataVersion1">
          <go:sheetsCustomData xmlns:go="http://customooxmlschemas.google.com/" filterViewId="270424754"/>
        </ext>
      </extLst>
    </customSheetView>
    <customSheetView guid="{DB078DD8-52E8-403B-8664-60CFDBD89685}" filter="1" showAutoFilter="1">
      <pageMargins left="0.7" right="0.7" top="0.75" bottom="0.75" header="0.3" footer="0.3"/>
      <autoFilter ref="A1:N66" xr:uid="{FFF907EB-929C-DE4B-810C-AED92444C459}"/>
      <extLst>
        <ext uri="GoogleSheetsCustomDataVersion1">
          <go:sheetsCustomData xmlns:go="http://customooxmlschemas.google.com/" filterViewId="213558549"/>
        </ext>
      </extLst>
    </customSheetView>
    <customSheetView guid="{8594AFCD-3B41-4B81-B979-5456E2FD0AC3}" filter="1" showAutoFilter="1">
      <pageMargins left="0.7" right="0.7" top="0.75" bottom="0.75" header="0.3" footer="0.3"/>
      <autoFilter ref="A1:N66" xr:uid="{40E0D96E-0D09-4D44-B697-2DE85F25A5D0}">
        <filterColumn colId="0">
          <filters blank="1">
            <filter val="December"/>
            <filter val="November"/>
            <filter val="October"/>
            <filter val="September"/>
          </filters>
        </filterColumn>
        <filterColumn colId="2">
          <filters blank="1"/>
        </filterColumn>
        <filterColumn colId="6">
          <filters>
            <filter val="1% artistique"/>
            <filter val="Aire de Valmy"/>
            <filter val="Fréquence radio"/>
            <filter val="Halloween"/>
            <filter val="Panneaux marrons"/>
            <filter val="QUIZ : Bandes blanches"/>
            <filter val="QUIZ : Nb de couches qui forment une chaussée"/>
            <filter val="Renovation chaussée"/>
            <filter val="Sur la route des Vikings"/>
            <filter val="Tunnel"/>
          </filters>
        </filterColumn>
      </autoFilter>
      <extLst>
        <ext uri="GoogleSheetsCustomDataVersion1">
          <go:sheetsCustomData xmlns:go="http://customooxmlschemas.google.com/" filterViewId="1761394263"/>
        </ext>
      </extLst>
    </customSheetView>
    <customSheetView guid="{6093BE0E-1F80-46F0-B53B-7F4400F2BFE3}" filter="1" showAutoFilter="1">
      <pageMargins left="0.7" right="0.7" top="0.75" bottom="0.75" header="0.3" footer="0.3"/>
      <autoFilter ref="A1:N230" xr:uid="{EA21761D-817B-3245-9FAC-6BF685DDCA77}"/>
      <extLst>
        <ext uri="GoogleSheetsCustomDataVersion1">
          <go:sheetsCustomData xmlns:go="http://customooxmlschemas.google.com/" filterViewId="1754472313"/>
        </ext>
      </extLst>
    </customSheetView>
    <customSheetView guid="{26B984F1-F5E8-498D-98EF-4918E7E2C674}" filter="1" showAutoFilter="1">
      <pageMargins left="0.7" right="0.7" top="0.75" bottom="0.75" header="0.3" footer="0.3"/>
      <autoFilter ref="A1:N66" xr:uid="{DFB110CA-14D3-834A-8B4C-60749E76DC41}"/>
      <extLst>
        <ext uri="GoogleSheetsCustomDataVersion1">
          <go:sheetsCustomData xmlns:go="http://customooxmlschemas.google.com/" filterViewId="1311743053"/>
        </ext>
      </extLst>
    </customSheetView>
  </customSheetViews>
  <hyperlinks>
    <hyperlink ref="I2" r:id="rId1" xr:uid="{00000000-0004-0000-0300-000000000000}"/>
    <hyperlink ref="I3" r:id="rId2" xr:uid="{00000000-0004-0000-0300-000001000000}"/>
    <hyperlink ref="I4" r:id="rId3" xr:uid="{00000000-0004-0000-0300-000002000000}"/>
    <hyperlink ref="I5" r:id="rId4" xr:uid="{00000000-0004-0000-0300-000003000000}"/>
    <hyperlink ref="I6" r:id="rId5" xr:uid="{00000000-0004-0000-0300-000004000000}"/>
    <hyperlink ref="I7" r:id="rId6" xr:uid="{00000000-0004-0000-0300-000005000000}"/>
    <hyperlink ref="I8" r:id="rId7" xr:uid="{00000000-0004-0000-0300-000006000000}"/>
    <hyperlink ref="I9" r:id="rId8" xr:uid="{00000000-0004-0000-0300-000007000000}"/>
    <hyperlink ref="I10" r:id="rId9" xr:uid="{00000000-0004-0000-0300-000008000000}"/>
    <hyperlink ref="I11" r:id="rId10" xr:uid="{00000000-0004-0000-0300-000009000000}"/>
    <hyperlink ref="I12" r:id="rId11" xr:uid="{00000000-0004-0000-0300-00000A000000}"/>
    <hyperlink ref="I13" r:id="rId12" xr:uid="{00000000-0004-0000-0300-00000B000000}"/>
    <hyperlink ref="I14" r:id="rId13" xr:uid="{00000000-0004-0000-0300-00000C000000}"/>
    <hyperlink ref="I15" r:id="rId14" xr:uid="{00000000-0004-0000-0300-00000D000000}"/>
    <hyperlink ref="I16" r:id="rId15" xr:uid="{00000000-0004-0000-0300-00000E000000}"/>
    <hyperlink ref="I17" r:id="rId16" xr:uid="{00000000-0004-0000-0300-00000F000000}"/>
    <hyperlink ref="I18" r:id="rId17" xr:uid="{00000000-0004-0000-0300-000010000000}"/>
    <hyperlink ref="I19" r:id="rId18" xr:uid="{00000000-0004-0000-0300-000011000000}"/>
    <hyperlink ref="I20" r:id="rId19" xr:uid="{00000000-0004-0000-0300-000012000000}"/>
    <hyperlink ref="I21" r:id="rId20" xr:uid="{00000000-0004-0000-0300-000013000000}"/>
    <hyperlink ref="I22" r:id="rId21" xr:uid="{00000000-0004-0000-0300-000014000000}"/>
    <hyperlink ref="I23" r:id="rId22" xr:uid="{00000000-0004-0000-0300-000015000000}"/>
    <hyperlink ref="I24" r:id="rId23" xr:uid="{00000000-0004-0000-0300-000016000000}"/>
    <hyperlink ref="I25" r:id="rId24" xr:uid="{00000000-0004-0000-0300-000017000000}"/>
    <hyperlink ref="I26" r:id="rId25" xr:uid="{00000000-0004-0000-0300-000018000000}"/>
    <hyperlink ref="I27" r:id="rId26" xr:uid="{00000000-0004-0000-0300-000019000000}"/>
    <hyperlink ref="I28" r:id="rId27" xr:uid="{00000000-0004-0000-0300-00001A000000}"/>
    <hyperlink ref="I29" r:id="rId28" xr:uid="{00000000-0004-0000-0300-00001B000000}"/>
    <hyperlink ref="I30" r:id="rId29" xr:uid="{00000000-0004-0000-0300-00001C000000}"/>
  </hyperlinks>
  <printOptions horizontalCentered="1" gridLines="1"/>
  <pageMargins left="0.7" right="0.7" top="0.75" bottom="0.75" header="0" footer="0"/>
  <pageSetup paperSize="9" fitToHeight="0" pageOrder="overThenDown" orientation="landscape" cellComments="atEnd"/>
  <drawing r:id="rId3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ALL TEAMS 2026</vt:lpstr>
      <vt:lpstr>ALL TEAMS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Baptiste</dc:creator>
  <cp:lastModifiedBy>DAVID Baptiste</cp:lastModifiedBy>
  <dcterms:created xsi:type="dcterms:W3CDTF">2026-06-04T08:03:17Z</dcterms:created>
  <dcterms:modified xsi:type="dcterms:W3CDTF">2026-06-05T09:21:05Z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07e33d-089b-403b-8691-2a91b682d8c7_Enabled">
    <vt:lpwstr>true</vt:lpwstr>
  </property>
  <property fmtid="{D5CDD505-2E9C-101B-9397-08002B2CF9AE}" pid="3" name="MSIP_Label_f107e33d-089b-403b-8691-2a91b682d8c7_SetDate">
    <vt:lpwstr>2026-06-05T09:21:05Z</vt:lpwstr>
  </property>
  <property fmtid="{D5CDD505-2E9C-101B-9397-08002B2CF9AE}" pid="4" name="MSIP_Label_f107e33d-089b-403b-8691-2a91b682d8c7_Method">
    <vt:lpwstr>Standard</vt:lpwstr>
  </property>
  <property fmtid="{D5CDD505-2E9C-101B-9397-08002B2CF9AE}" pid="5" name="MSIP_Label_f107e33d-089b-403b-8691-2a91b682d8c7_Name">
    <vt:lpwstr>Interne</vt:lpwstr>
  </property>
  <property fmtid="{D5CDD505-2E9C-101B-9397-08002B2CF9AE}" pid="6" name="MSIP_Label_f107e33d-089b-403b-8691-2a91b682d8c7_SiteId">
    <vt:lpwstr>72cbb54e-b993-42c4-a579-7e0142a770c4</vt:lpwstr>
  </property>
  <property fmtid="{D5CDD505-2E9C-101B-9397-08002B2CF9AE}" pid="7" name="MSIP_Label_f107e33d-089b-403b-8691-2a91b682d8c7_ActionId">
    <vt:lpwstr>fe44e7bc-e068-4157-808d-b9a4b66de50b</vt:lpwstr>
  </property>
  <property fmtid="{D5CDD505-2E9C-101B-9397-08002B2CF9AE}" pid="8" name="MSIP_Label_f107e33d-089b-403b-8691-2a91b682d8c7_ContentBits">
    <vt:lpwstr>0</vt:lpwstr>
  </property>
</Properties>
</file>